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EIFER\Downloads\"/>
    </mc:Choice>
  </mc:AlternateContent>
  <xr:revisionPtr revIDLastSave="0" documentId="13_ncr:1_{7C1BC950-E022-4C6B-BA09-E267E954F06B}" xr6:coauthVersionLast="46" xr6:coauthVersionMax="47" xr10:uidLastSave="{00000000-0000-0000-0000-000000000000}"/>
  <bookViews>
    <workbookView xWindow="-120" yWindow="-120" windowWidth="20640" windowHeight="11040" xr2:uid="{DC71C581-5426-42AA-BE36-6BEFF96FD4A4}"/>
  </bookViews>
  <sheets>
    <sheet name="Hoja1" sheetId="1" r:id="rId1"/>
    <sheet name="Producto 1" sheetId="3" r:id="rId2"/>
    <sheet name="Producto 2" sheetId="4" r:id="rId3"/>
    <sheet name="Producto 3" sheetId="5" r:id="rId4"/>
    <sheet name="Producto 4" sheetId="6" r:id="rId5"/>
    <sheet name="Producto 5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7" l="1"/>
  <c r="C25" i="7" s="1"/>
  <c r="D25" i="7" s="1"/>
  <c r="B24" i="7"/>
  <c r="C24" i="7" s="1"/>
  <c r="D24" i="7" s="1"/>
  <c r="B23" i="7"/>
  <c r="C23" i="7" s="1"/>
  <c r="D23" i="7" s="1"/>
  <c r="B22" i="7"/>
  <c r="C22" i="7" s="1"/>
  <c r="D22" i="7" s="1"/>
  <c r="B21" i="7"/>
  <c r="C21" i="7" s="1"/>
  <c r="D21" i="7" s="1"/>
  <c r="B20" i="7"/>
  <c r="C20" i="7" s="1"/>
  <c r="D20" i="7" s="1"/>
  <c r="B19" i="7"/>
  <c r="C19" i="7" s="1"/>
  <c r="D19" i="7" s="1"/>
  <c r="B18" i="7"/>
  <c r="C18" i="7" s="1"/>
  <c r="D18" i="7" s="1"/>
  <c r="B17" i="7"/>
  <c r="C17" i="7" s="1"/>
  <c r="D17" i="7" s="1"/>
  <c r="B16" i="7"/>
  <c r="C16" i="7" s="1"/>
  <c r="D16" i="7" s="1"/>
  <c r="B15" i="7"/>
  <c r="C15" i="7" s="1"/>
  <c r="D15" i="7" s="1"/>
  <c r="B14" i="7"/>
  <c r="C14" i="7" s="1"/>
  <c r="D14" i="7" s="1"/>
  <c r="B13" i="7"/>
  <c r="C13" i="7" s="1"/>
  <c r="D13" i="7" s="1"/>
  <c r="B12" i="7"/>
  <c r="C12" i="7" s="1"/>
  <c r="D12" i="7" s="1"/>
  <c r="B11" i="7"/>
  <c r="C11" i="7" s="1"/>
  <c r="D11" i="7" s="1"/>
  <c r="B10" i="7"/>
  <c r="C10" i="7" s="1"/>
  <c r="D10" i="7" s="1"/>
  <c r="B9" i="7"/>
  <c r="C9" i="7" s="1"/>
  <c r="D9" i="7" s="1"/>
  <c r="B8" i="7"/>
  <c r="C8" i="7" s="1"/>
  <c r="D8" i="7" s="1"/>
  <c r="B7" i="7"/>
  <c r="C7" i="7" s="1"/>
  <c r="D7" i="7" s="1"/>
  <c r="B6" i="7"/>
  <c r="C6" i="7" s="1"/>
  <c r="D6" i="7" s="1"/>
  <c r="B5" i="7"/>
  <c r="C5" i="7" s="1"/>
  <c r="D5" i="7" s="1"/>
  <c r="B25" i="6"/>
  <c r="C25" i="6" s="1"/>
  <c r="D25" i="6" s="1"/>
  <c r="B24" i="6"/>
  <c r="C24" i="6" s="1"/>
  <c r="D24" i="6" s="1"/>
  <c r="B23" i="6"/>
  <c r="C23" i="6" s="1"/>
  <c r="D23" i="6" s="1"/>
  <c r="B22" i="6"/>
  <c r="C22" i="6" s="1"/>
  <c r="D22" i="6" s="1"/>
  <c r="B21" i="6"/>
  <c r="C21" i="6" s="1"/>
  <c r="D21" i="6" s="1"/>
  <c r="B20" i="6"/>
  <c r="C20" i="6" s="1"/>
  <c r="D20" i="6" s="1"/>
  <c r="B19" i="6"/>
  <c r="C19" i="6" s="1"/>
  <c r="D19" i="6" s="1"/>
  <c r="B18" i="6"/>
  <c r="C18" i="6" s="1"/>
  <c r="D18" i="6" s="1"/>
  <c r="B17" i="6"/>
  <c r="C17" i="6" s="1"/>
  <c r="D17" i="6" s="1"/>
  <c r="B16" i="6"/>
  <c r="C16" i="6" s="1"/>
  <c r="D16" i="6" s="1"/>
  <c r="B15" i="6"/>
  <c r="C15" i="6" s="1"/>
  <c r="D15" i="6" s="1"/>
  <c r="B14" i="6"/>
  <c r="C14" i="6" s="1"/>
  <c r="D14" i="6" s="1"/>
  <c r="B13" i="6"/>
  <c r="C13" i="6" s="1"/>
  <c r="D13" i="6" s="1"/>
  <c r="B12" i="6"/>
  <c r="C12" i="6" s="1"/>
  <c r="D12" i="6" s="1"/>
  <c r="B11" i="6"/>
  <c r="C11" i="6" s="1"/>
  <c r="D11" i="6" s="1"/>
  <c r="B10" i="6"/>
  <c r="C10" i="6" s="1"/>
  <c r="D10" i="6" s="1"/>
  <c r="B9" i="6"/>
  <c r="C9" i="6" s="1"/>
  <c r="D9" i="6" s="1"/>
  <c r="B8" i="6"/>
  <c r="C8" i="6" s="1"/>
  <c r="D8" i="6" s="1"/>
  <c r="B7" i="6"/>
  <c r="C7" i="6" s="1"/>
  <c r="D7" i="6" s="1"/>
  <c r="B6" i="6"/>
  <c r="C6" i="6" s="1"/>
  <c r="D6" i="6" s="1"/>
  <c r="B5" i="6"/>
  <c r="C5" i="6" s="1"/>
  <c r="D5" i="6" s="1"/>
  <c r="B25" i="5"/>
  <c r="C25" i="5" s="1"/>
  <c r="D25" i="5" s="1"/>
  <c r="B24" i="5"/>
  <c r="C24" i="5" s="1"/>
  <c r="D24" i="5" s="1"/>
  <c r="B23" i="5"/>
  <c r="C23" i="5" s="1"/>
  <c r="D23" i="5" s="1"/>
  <c r="B22" i="5"/>
  <c r="C22" i="5" s="1"/>
  <c r="D22" i="5" s="1"/>
  <c r="B21" i="5"/>
  <c r="C21" i="5" s="1"/>
  <c r="D21" i="5" s="1"/>
  <c r="B20" i="5"/>
  <c r="C20" i="5" s="1"/>
  <c r="D20" i="5" s="1"/>
  <c r="B19" i="5"/>
  <c r="C19" i="5" s="1"/>
  <c r="D19" i="5" s="1"/>
  <c r="B18" i="5"/>
  <c r="C18" i="5" s="1"/>
  <c r="D18" i="5" s="1"/>
  <c r="B17" i="5"/>
  <c r="C17" i="5" s="1"/>
  <c r="D17" i="5" s="1"/>
  <c r="B16" i="5"/>
  <c r="C16" i="5" s="1"/>
  <c r="D16" i="5" s="1"/>
  <c r="B15" i="5"/>
  <c r="C15" i="5" s="1"/>
  <c r="D15" i="5" s="1"/>
  <c r="B14" i="5"/>
  <c r="C14" i="5" s="1"/>
  <c r="D14" i="5" s="1"/>
  <c r="B13" i="5"/>
  <c r="C13" i="5" s="1"/>
  <c r="D13" i="5" s="1"/>
  <c r="B12" i="5"/>
  <c r="C12" i="5" s="1"/>
  <c r="D12" i="5" s="1"/>
  <c r="B11" i="5"/>
  <c r="C11" i="5" s="1"/>
  <c r="D11" i="5" s="1"/>
  <c r="B10" i="5"/>
  <c r="C10" i="5" s="1"/>
  <c r="D10" i="5" s="1"/>
  <c r="B9" i="5"/>
  <c r="C9" i="5" s="1"/>
  <c r="D9" i="5" s="1"/>
  <c r="B8" i="5"/>
  <c r="C8" i="5" s="1"/>
  <c r="D8" i="5" s="1"/>
  <c r="B7" i="5"/>
  <c r="C7" i="5" s="1"/>
  <c r="D7" i="5" s="1"/>
  <c r="B6" i="5"/>
  <c r="C6" i="5" s="1"/>
  <c r="D6" i="5" s="1"/>
  <c r="B5" i="5"/>
  <c r="C5" i="5" s="1"/>
  <c r="D5" i="5" s="1"/>
  <c r="G5" i="5" s="1"/>
  <c r="I2" i="3"/>
  <c r="I2" i="4"/>
  <c r="E8" i="7" l="1"/>
  <c r="F8" i="7"/>
  <c r="G8" i="7"/>
  <c r="E12" i="7"/>
  <c r="F12" i="7"/>
  <c r="G12" i="7"/>
  <c r="E16" i="7"/>
  <c r="G16" i="7"/>
  <c r="F16" i="7"/>
  <c r="E20" i="7"/>
  <c r="F20" i="7"/>
  <c r="G20" i="7"/>
  <c r="E24" i="7"/>
  <c r="G24" i="7"/>
  <c r="F24" i="7"/>
  <c r="G5" i="7"/>
  <c r="F5" i="7"/>
  <c r="E5" i="7"/>
  <c r="G9" i="7"/>
  <c r="F9" i="7"/>
  <c r="E9" i="7"/>
  <c r="G13" i="7"/>
  <c r="F13" i="7"/>
  <c r="E13" i="7"/>
  <c r="G17" i="7"/>
  <c r="F17" i="7"/>
  <c r="E17" i="7"/>
  <c r="G21" i="7"/>
  <c r="F21" i="7"/>
  <c r="E21" i="7"/>
  <c r="G25" i="7"/>
  <c r="F25" i="7"/>
  <c r="E25" i="7"/>
  <c r="E6" i="7"/>
  <c r="F6" i="7"/>
  <c r="G6" i="7"/>
  <c r="E10" i="7"/>
  <c r="F10" i="7"/>
  <c r="G10" i="7"/>
  <c r="E14" i="7"/>
  <c r="G14" i="7"/>
  <c r="F14" i="7"/>
  <c r="E18" i="7"/>
  <c r="G18" i="7"/>
  <c r="F18" i="7"/>
  <c r="E22" i="7"/>
  <c r="G22" i="7"/>
  <c r="F22" i="7"/>
  <c r="G7" i="7"/>
  <c r="F7" i="7"/>
  <c r="E7" i="7"/>
  <c r="G11" i="7"/>
  <c r="F11" i="7"/>
  <c r="E11" i="7"/>
  <c r="G15" i="7"/>
  <c r="F15" i="7"/>
  <c r="E15" i="7"/>
  <c r="G19" i="7"/>
  <c r="F19" i="7"/>
  <c r="E19" i="7"/>
  <c r="G23" i="7"/>
  <c r="F23" i="7"/>
  <c r="E23" i="7"/>
  <c r="E8" i="6"/>
  <c r="F8" i="6"/>
  <c r="G8" i="6"/>
  <c r="E12" i="6"/>
  <c r="G12" i="6"/>
  <c r="F12" i="6"/>
  <c r="E16" i="6"/>
  <c r="G16" i="6"/>
  <c r="F16" i="6"/>
  <c r="E20" i="6"/>
  <c r="G20" i="6"/>
  <c r="F20" i="6"/>
  <c r="E24" i="6"/>
  <c r="G24" i="6"/>
  <c r="F24" i="6"/>
  <c r="G5" i="6"/>
  <c r="F5" i="6"/>
  <c r="E5" i="6"/>
  <c r="G9" i="6"/>
  <c r="F9" i="6"/>
  <c r="E9" i="6"/>
  <c r="G13" i="6"/>
  <c r="F13" i="6"/>
  <c r="E13" i="6"/>
  <c r="G17" i="6"/>
  <c r="F17" i="6"/>
  <c r="E17" i="6"/>
  <c r="G21" i="6"/>
  <c r="F21" i="6"/>
  <c r="E21" i="6"/>
  <c r="G25" i="6"/>
  <c r="F25" i="6"/>
  <c r="E25" i="6"/>
  <c r="E6" i="6"/>
  <c r="F6" i="6"/>
  <c r="G6" i="6"/>
  <c r="E10" i="6"/>
  <c r="G10" i="6"/>
  <c r="F10" i="6"/>
  <c r="E14" i="6"/>
  <c r="G14" i="6"/>
  <c r="F14" i="6"/>
  <c r="E18" i="6"/>
  <c r="G18" i="6"/>
  <c r="F18" i="6"/>
  <c r="E22" i="6"/>
  <c r="G22" i="6"/>
  <c r="F22" i="6"/>
  <c r="G7" i="6"/>
  <c r="F7" i="6"/>
  <c r="E7" i="6"/>
  <c r="G11" i="6"/>
  <c r="F11" i="6"/>
  <c r="E11" i="6"/>
  <c r="G15" i="6"/>
  <c r="F15" i="6"/>
  <c r="E15" i="6"/>
  <c r="G19" i="6"/>
  <c r="F19" i="6"/>
  <c r="E19" i="6"/>
  <c r="G23" i="6"/>
  <c r="F23" i="6"/>
  <c r="E23" i="6"/>
  <c r="G7" i="5"/>
  <c r="F7" i="5"/>
  <c r="E7" i="5"/>
  <c r="G11" i="5"/>
  <c r="F11" i="5"/>
  <c r="E11" i="5"/>
  <c r="G15" i="5"/>
  <c r="F15" i="5"/>
  <c r="E15" i="5"/>
  <c r="G19" i="5"/>
  <c r="F19" i="5"/>
  <c r="E19" i="5"/>
  <c r="G23" i="5"/>
  <c r="F23" i="5"/>
  <c r="E23" i="5"/>
  <c r="G9" i="5"/>
  <c r="F9" i="5"/>
  <c r="E9" i="5"/>
  <c r="G13" i="5"/>
  <c r="F13" i="5"/>
  <c r="E13" i="5"/>
  <c r="G17" i="5"/>
  <c r="F17" i="5"/>
  <c r="E17" i="5"/>
  <c r="G21" i="5"/>
  <c r="F21" i="5"/>
  <c r="E21" i="5"/>
  <c r="G25" i="5"/>
  <c r="F25" i="5"/>
  <c r="E25" i="5"/>
  <c r="E20" i="5"/>
  <c r="G20" i="5"/>
  <c r="E22" i="5"/>
  <c r="G22" i="5"/>
  <c r="E18" i="5"/>
  <c r="G18" i="5"/>
  <c r="E6" i="5"/>
  <c r="G6" i="5"/>
  <c r="E8" i="5"/>
  <c r="G8" i="5"/>
  <c r="E10" i="5"/>
  <c r="G10" i="5"/>
  <c r="E12" i="5"/>
  <c r="G12" i="5"/>
  <c r="E14" i="5"/>
  <c r="G14" i="5"/>
  <c r="E16" i="5"/>
  <c r="G16" i="5"/>
  <c r="E24" i="5"/>
  <c r="G24" i="5"/>
  <c r="E5" i="5"/>
  <c r="I2" i="5" s="1"/>
  <c r="F6" i="5"/>
  <c r="F8" i="5"/>
  <c r="F10" i="5"/>
  <c r="F12" i="5"/>
  <c r="F14" i="5"/>
  <c r="F16" i="5"/>
  <c r="F18" i="5"/>
  <c r="F20" i="5"/>
  <c r="F22" i="5"/>
  <c r="F24" i="5"/>
  <c r="F5" i="5"/>
  <c r="G5" i="3"/>
  <c r="F5" i="3"/>
  <c r="E5" i="3"/>
  <c r="D5" i="3"/>
  <c r="C5" i="3"/>
  <c r="B5" i="4"/>
  <c r="C5" i="4" s="1"/>
  <c r="D5" i="4" s="1"/>
  <c r="B25" i="4"/>
  <c r="C25" i="4" s="1"/>
  <c r="D25" i="4" s="1"/>
  <c r="B24" i="4"/>
  <c r="C24" i="4" s="1"/>
  <c r="D24" i="4" s="1"/>
  <c r="B23" i="4"/>
  <c r="C23" i="4" s="1"/>
  <c r="D23" i="4" s="1"/>
  <c r="B22" i="4"/>
  <c r="C22" i="4" s="1"/>
  <c r="D22" i="4" s="1"/>
  <c r="B21" i="4"/>
  <c r="C21" i="4" s="1"/>
  <c r="D21" i="4" s="1"/>
  <c r="B20" i="4"/>
  <c r="C20" i="4" s="1"/>
  <c r="D20" i="4" s="1"/>
  <c r="B19" i="4"/>
  <c r="C19" i="4" s="1"/>
  <c r="D19" i="4" s="1"/>
  <c r="B18" i="4"/>
  <c r="C18" i="4" s="1"/>
  <c r="D18" i="4" s="1"/>
  <c r="B17" i="4"/>
  <c r="C17" i="4" s="1"/>
  <c r="D17" i="4" s="1"/>
  <c r="B16" i="4"/>
  <c r="C16" i="4" s="1"/>
  <c r="D16" i="4" s="1"/>
  <c r="B15" i="4"/>
  <c r="C15" i="4" s="1"/>
  <c r="D15" i="4" s="1"/>
  <c r="B14" i="4"/>
  <c r="C14" i="4" s="1"/>
  <c r="D14" i="4" s="1"/>
  <c r="B13" i="4"/>
  <c r="C13" i="4" s="1"/>
  <c r="D13" i="4" s="1"/>
  <c r="B12" i="4"/>
  <c r="C12" i="4" s="1"/>
  <c r="D12" i="4" s="1"/>
  <c r="B11" i="4"/>
  <c r="C11" i="4" s="1"/>
  <c r="D11" i="4" s="1"/>
  <c r="B10" i="4"/>
  <c r="C10" i="4" s="1"/>
  <c r="D10" i="4" s="1"/>
  <c r="B9" i="4"/>
  <c r="C9" i="4" s="1"/>
  <c r="D9" i="4" s="1"/>
  <c r="B8" i="4"/>
  <c r="C8" i="4" s="1"/>
  <c r="D8" i="4" s="1"/>
  <c r="B7" i="4"/>
  <c r="C7" i="4" s="1"/>
  <c r="D7" i="4" s="1"/>
  <c r="B6" i="4"/>
  <c r="C6" i="4" s="1"/>
  <c r="D6" i="4" s="1"/>
  <c r="B6" i="3"/>
  <c r="B5" i="3"/>
  <c r="B25" i="3"/>
  <c r="C25" i="3" s="1"/>
  <c r="D25" i="3" s="1"/>
  <c r="C24" i="3"/>
  <c r="D24" i="3" s="1"/>
  <c r="B24" i="3"/>
  <c r="B23" i="3"/>
  <c r="C23" i="3" s="1"/>
  <c r="D23" i="3" s="1"/>
  <c r="B22" i="3"/>
  <c r="C22" i="3" s="1"/>
  <c r="D22" i="3" s="1"/>
  <c r="B21" i="3"/>
  <c r="C21" i="3" s="1"/>
  <c r="D21" i="3" s="1"/>
  <c r="B20" i="3"/>
  <c r="C20" i="3" s="1"/>
  <c r="D20" i="3" s="1"/>
  <c r="G20" i="3" s="1"/>
  <c r="B19" i="3"/>
  <c r="C19" i="3" s="1"/>
  <c r="D19" i="3" s="1"/>
  <c r="B18" i="3"/>
  <c r="C18" i="3" s="1"/>
  <c r="D18" i="3" s="1"/>
  <c r="F18" i="3" s="1"/>
  <c r="B17" i="3"/>
  <c r="C17" i="3" s="1"/>
  <c r="D17" i="3" s="1"/>
  <c r="B16" i="3"/>
  <c r="C16" i="3" s="1"/>
  <c r="D16" i="3" s="1"/>
  <c r="D15" i="3"/>
  <c r="B15" i="3"/>
  <c r="C15" i="3" s="1"/>
  <c r="B14" i="3"/>
  <c r="C14" i="3" s="1"/>
  <c r="D14" i="3" s="1"/>
  <c r="B13" i="3"/>
  <c r="C13" i="3" s="1"/>
  <c r="D13" i="3" s="1"/>
  <c r="G12" i="3"/>
  <c r="B12" i="3"/>
  <c r="C12" i="3" s="1"/>
  <c r="D12" i="3" s="1"/>
  <c r="E12" i="3" s="1"/>
  <c r="B11" i="3"/>
  <c r="C11" i="3" s="1"/>
  <c r="D11" i="3" s="1"/>
  <c r="B10" i="3"/>
  <c r="C10" i="3" s="1"/>
  <c r="D10" i="3" s="1"/>
  <c r="B9" i="3"/>
  <c r="C9" i="3" s="1"/>
  <c r="D9" i="3" s="1"/>
  <c r="B8" i="3"/>
  <c r="C8" i="3" s="1"/>
  <c r="D8" i="3" s="1"/>
  <c r="B7" i="3"/>
  <c r="C7" i="3" s="1"/>
  <c r="D7" i="3" s="1"/>
  <c r="E7" i="3" s="1"/>
  <c r="C6" i="3"/>
  <c r="D6" i="3" s="1"/>
  <c r="I4" i="1"/>
  <c r="I5" i="1" s="1"/>
  <c r="I2" i="1"/>
  <c r="I3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" i="1"/>
  <c r="I4" i="7" l="1"/>
  <c r="I5" i="7" s="1"/>
  <c r="I2" i="7"/>
  <c r="I3" i="7"/>
  <c r="I2" i="6"/>
  <c r="I4" i="6"/>
  <c r="I5" i="6" s="1"/>
  <c r="I3" i="6"/>
  <c r="I4" i="5"/>
  <c r="I5" i="5" s="1"/>
  <c r="I3" i="5"/>
  <c r="E6" i="4"/>
  <c r="G6" i="4"/>
  <c r="F6" i="4"/>
  <c r="E10" i="4"/>
  <c r="G10" i="4"/>
  <c r="F10" i="4"/>
  <c r="E22" i="4"/>
  <c r="G22" i="4"/>
  <c r="F22" i="4"/>
  <c r="G7" i="4"/>
  <c r="E7" i="4"/>
  <c r="F7" i="4"/>
  <c r="G11" i="4"/>
  <c r="E11" i="4"/>
  <c r="F11" i="4"/>
  <c r="G15" i="4"/>
  <c r="E15" i="4"/>
  <c r="F15" i="4"/>
  <c r="G19" i="4"/>
  <c r="E19" i="4"/>
  <c r="F19" i="4"/>
  <c r="G23" i="4"/>
  <c r="E23" i="4"/>
  <c r="F23" i="4"/>
  <c r="E14" i="4"/>
  <c r="G14" i="4"/>
  <c r="F14" i="4"/>
  <c r="E8" i="4"/>
  <c r="G8" i="4"/>
  <c r="F8" i="4"/>
  <c r="E12" i="4"/>
  <c r="G12" i="4"/>
  <c r="F12" i="4"/>
  <c r="E16" i="4"/>
  <c r="G16" i="4"/>
  <c r="F16" i="4"/>
  <c r="E20" i="4"/>
  <c r="G20" i="4"/>
  <c r="F20" i="4"/>
  <c r="E24" i="4"/>
  <c r="F24" i="4"/>
  <c r="G24" i="4"/>
  <c r="E18" i="4"/>
  <c r="G18" i="4"/>
  <c r="F18" i="4"/>
  <c r="F5" i="4"/>
  <c r="E5" i="4"/>
  <c r="G5" i="4"/>
  <c r="G9" i="4"/>
  <c r="E9" i="4"/>
  <c r="F9" i="4"/>
  <c r="G13" i="4"/>
  <c r="E13" i="4"/>
  <c r="F13" i="4"/>
  <c r="G17" i="4"/>
  <c r="E17" i="4"/>
  <c r="F17" i="4"/>
  <c r="G21" i="4"/>
  <c r="E21" i="4"/>
  <c r="F21" i="4"/>
  <c r="G25" i="4"/>
  <c r="F25" i="4"/>
  <c r="E25" i="4"/>
  <c r="F12" i="3"/>
  <c r="E10" i="3"/>
  <c r="F10" i="3"/>
  <c r="G10" i="3"/>
  <c r="E8" i="3"/>
  <c r="G8" i="3"/>
  <c r="F8" i="3"/>
  <c r="E14" i="3"/>
  <c r="G14" i="3"/>
  <c r="F14" i="3"/>
  <c r="G9" i="3"/>
  <c r="F9" i="3"/>
  <c r="E9" i="3"/>
  <c r="E6" i="3"/>
  <c r="G6" i="3"/>
  <c r="G23" i="3"/>
  <c r="F23" i="3"/>
  <c r="E23" i="3"/>
  <c r="G25" i="3"/>
  <c r="F25" i="3"/>
  <c r="E25" i="3"/>
  <c r="F6" i="3"/>
  <c r="G11" i="3"/>
  <c r="E11" i="3"/>
  <c r="E16" i="3"/>
  <c r="G16" i="3"/>
  <c r="F16" i="3"/>
  <c r="E20" i="3"/>
  <c r="F20" i="3"/>
  <c r="I4" i="3"/>
  <c r="F11" i="3"/>
  <c r="G13" i="3"/>
  <c r="F13" i="3"/>
  <c r="G19" i="3"/>
  <c r="F19" i="3"/>
  <c r="G21" i="3"/>
  <c r="F21" i="3"/>
  <c r="E21" i="3"/>
  <c r="E24" i="3"/>
  <c r="G24" i="3"/>
  <c r="F24" i="3"/>
  <c r="E18" i="3"/>
  <c r="G18" i="3"/>
  <c r="G7" i="3"/>
  <c r="F7" i="3"/>
  <c r="E13" i="3"/>
  <c r="G15" i="3"/>
  <c r="F15" i="3"/>
  <c r="E15" i="3"/>
  <c r="G17" i="3"/>
  <c r="F17" i="3"/>
  <c r="E17" i="3"/>
  <c r="E19" i="3"/>
  <c r="E22" i="3"/>
  <c r="G22" i="3"/>
  <c r="F22" i="3"/>
  <c r="I4" i="4" l="1"/>
  <c r="I5" i="4" s="1"/>
  <c r="I3" i="4"/>
  <c r="I5" i="3"/>
  <c r="I3" i="3"/>
</calcChain>
</file>

<file path=xl/sharedStrings.xml><?xml version="1.0" encoding="utf-8"?>
<sst xmlns="http://schemas.openxmlformats.org/spreadsheetml/2006/main" count="78" uniqueCount="16">
  <si>
    <t>ventas</t>
  </si>
  <si>
    <t>MYPE</t>
  </si>
  <si>
    <t>MYPE'</t>
  </si>
  <si>
    <t>MCE</t>
  </si>
  <si>
    <t>N-3</t>
  </si>
  <si>
    <t>RICE</t>
  </si>
  <si>
    <t>MSE</t>
  </si>
  <si>
    <t>MAPE</t>
  </si>
  <si>
    <t>MAE</t>
  </si>
  <si>
    <t>pronostico</t>
  </si>
  <si>
    <t>error</t>
  </si>
  <si>
    <t>error_abs</t>
  </si>
  <si>
    <t>ape</t>
  </si>
  <si>
    <t>ape'</t>
  </si>
  <si>
    <t>error cuadratico</t>
  </si>
  <si>
    <t>mediddas de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</si>
</sst>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  <xf numFmtId="9" fontId="0" fillId="0" borderId="0" xfId="1" applyNumberFormat="1" applyFon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9" fontId="0" fillId="0" borderId="1" xfId="1" applyFont="1" applyBorder="1"/>
    <xf numFmtId="1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A025-7F5E-4AD5-8917-E09BE1F0DD2C}">
  <dimension ref="A1:J53"/>
  <sheetViews>
    <sheetView tabSelected="1" workbookViewId="0">
      <selection activeCell="H13" sqref="H13"/>
    </sheetView>
  </sheetViews>
  <sheetFormatPr baseColWidth="10" defaultRowHeight="14.25"/>
  <cols>
    <col min="1" max="1" width="11.5" style="1"/>
    <col min="7" max="7" width="15.875" customWidth="1"/>
    <col min="9" max="9" width="19.75" customWidth="1"/>
  </cols>
  <sheetData>
    <row r="1" spans="1:10" ht="15">
      <c r="A1" s="10" t="s">
        <v>0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I1" s="10" t="s">
        <v>15</v>
      </c>
      <c r="J1" t="s">
        <v>4</v>
      </c>
    </row>
    <row r="2" spans="1:10">
      <c r="A2" s="5">
        <v>311</v>
      </c>
      <c r="B2" s="5"/>
      <c r="C2" s="5"/>
      <c r="D2" s="5"/>
      <c r="E2" s="5"/>
      <c r="F2" s="5"/>
      <c r="G2" s="5"/>
      <c r="H2" s="17" t="s">
        <v>1</v>
      </c>
      <c r="I2" s="14">
        <f>AVERAGE(E$5:E$53)</f>
        <v>1.2771298733597127</v>
      </c>
    </row>
    <row r="3" spans="1:10">
      <c r="A3" s="5">
        <v>127</v>
      </c>
      <c r="B3" s="5"/>
      <c r="C3" s="5"/>
      <c r="D3" s="5"/>
      <c r="E3" s="5"/>
      <c r="F3" s="5"/>
      <c r="G3" s="5"/>
      <c r="H3" s="17" t="s">
        <v>2</v>
      </c>
      <c r="I3" s="14">
        <f>AVERAGE(F$5:F$53)</f>
        <v>0.43793146908468605</v>
      </c>
    </row>
    <row r="4" spans="1:10">
      <c r="A4" s="5">
        <v>369</v>
      </c>
      <c r="B4" s="5"/>
      <c r="C4" s="5"/>
      <c r="D4" s="5"/>
      <c r="E4" s="5"/>
      <c r="F4" s="5"/>
      <c r="G4" s="5"/>
      <c r="H4" s="17" t="s">
        <v>3</v>
      </c>
      <c r="I4" s="15">
        <f>AVERAGE(G$5:G$53)</f>
        <v>18447.37868480726</v>
      </c>
    </row>
    <row r="5" spans="1:10">
      <c r="A5" s="5">
        <v>19</v>
      </c>
      <c r="B5" s="6">
        <f>AVERAGE(A2:A4)</f>
        <v>269</v>
      </c>
      <c r="C5" s="6">
        <f>A5-B5</f>
        <v>-250</v>
      </c>
      <c r="D5" s="6">
        <f>ABS(C5)</f>
        <v>250</v>
      </c>
      <c r="E5" s="7">
        <f>D5/A5</f>
        <v>13.157894736842104</v>
      </c>
      <c r="F5" s="8">
        <f>D5/B5</f>
        <v>0.92936802973977695</v>
      </c>
      <c r="G5" s="6">
        <f>D5*D5</f>
        <v>62500</v>
      </c>
      <c r="H5" s="17" t="s">
        <v>5</v>
      </c>
      <c r="I5" s="13">
        <f>SQRT(I4)</f>
        <v>135.82112753473689</v>
      </c>
    </row>
    <row r="6" spans="1:10">
      <c r="A6" s="5">
        <v>362</v>
      </c>
      <c r="B6" s="6">
        <f t="shared" ref="B6:B53" si="0">AVERAGE(A3:A5)</f>
        <v>171.66666666666666</v>
      </c>
      <c r="C6" s="6">
        <f t="shared" ref="C6:C53" si="1">A6-B6</f>
        <v>190.33333333333334</v>
      </c>
      <c r="D6" s="6">
        <f t="shared" ref="D6:D53" si="2">ABS(C6)</f>
        <v>190.33333333333334</v>
      </c>
      <c r="E6" s="8">
        <f t="shared" ref="E6:E53" si="3">D6/A6</f>
        <v>0.52578268876611423</v>
      </c>
      <c r="F6" s="8">
        <f t="shared" ref="F6:F53" si="4">D6/B6</f>
        <v>1.1087378640776699</v>
      </c>
      <c r="G6" s="6">
        <f t="shared" ref="G6:G53" si="5">D6*D6</f>
        <v>36226.777777777781</v>
      </c>
    </row>
    <row r="7" spans="1:10">
      <c r="A7" s="5">
        <v>134</v>
      </c>
      <c r="B7" s="6">
        <f t="shared" si="0"/>
        <v>250</v>
      </c>
      <c r="C7" s="6">
        <f t="shared" si="1"/>
        <v>-116</v>
      </c>
      <c r="D7" s="6">
        <f t="shared" si="2"/>
        <v>116</v>
      </c>
      <c r="E7" s="8">
        <f t="shared" si="3"/>
        <v>0.86567164179104472</v>
      </c>
      <c r="F7" s="8">
        <f t="shared" si="4"/>
        <v>0.46400000000000002</v>
      </c>
      <c r="G7" s="6">
        <f t="shared" si="5"/>
        <v>13456</v>
      </c>
    </row>
    <row r="8" spans="1:10">
      <c r="A8" s="5">
        <v>419</v>
      </c>
      <c r="B8" s="6">
        <f t="shared" si="0"/>
        <v>171.66666666666666</v>
      </c>
      <c r="C8" s="6">
        <f t="shared" si="1"/>
        <v>247.33333333333334</v>
      </c>
      <c r="D8" s="6">
        <f t="shared" si="2"/>
        <v>247.33333333333334</v>
      </c>
      <c r="E8" s="8">
        <f t="shared" si="3"/>
        <v>0.59029435163086719</v>
      </c>
      <c r="F8" s="8">
        <f t="shared" si="4"/>
        <v>1.4407766990291264</v>
      </c>
      <c r="G8" s="6">
        <f t="shared" si="5"/>
        <v>61173.777777777781</v>
      </c>
    </row>
    <row r="9" spans="1:10">
      <c r="A9" s="5">
        <v>339</v>
      </c>
      <c r="B9" s="6">
        <f t="shared" si="0"/>
        <v>305</v>
      </c>
      <c r="C9" s="6">
        <f t="shared" si="1"/>
        <v>34</v>
      </c>
      <c r="D9" s="6">
        <f t="shared" si="2"/>
        <v>34</v>
      </c>
      <c r="E9" s="8">
        <f t="shared" si="3"/>
        <v>0.10029498525073746</v>
      </c>
      <c r="F9" s="8">
        <f t="shared" si="4"/>
        <v>0.11147540983606558</v>
      </c>
      <c r="G9" s="6">
        <f t="shared" si="5"/>
        <v>1156</v>
      </c>
    </row>
    <row r="10" spans="1:10">
      <c r="A10" s="5">
        <v>393</v>
      </c>
      <c r="B10" s="6">
        <f t="shared" si="0"/>
        <v>297.33333333333331</v>
      </c>
      <c r="C10" s="6">
        <f t="shared" si="1"/>
        <v>95.666666666666686</v>
      </c>
      <c r="D10" s="6">
        <f t="shared" si="2"/>
        <v>95.666666666666686</v>
      </c>
      <c r="E10" s="8">
        <f t="shared" si="3"/>
        <v>0.24342663273960988</v>
      </c>
      <c r="F10" s="8">
        <f t="shared" si="4"/>
        <v>0.32174887892376691</v>
      </c>
      <c r="G10" s="6">
        <f t="shared" si="5"/>
        <v>9152.111111111115</v>
      </c>
    </row>
    <row r="11" spans="1:10">
      <c r="A11" s="5">
        <v>403</v>
      </c>
      <c r="B11" s="6">
        <f t="shared" si="0"/>
        <v>383.66666666666669</v>
      </c>
      <c r="C11" s="6">
        <f t="shared" si="1"/>
        <v>19.333333333333314</v>
      </c>
      <c r="D11" s="6">
        <f t="shared" si="2"/>
        <v>19.333333333333314</v>
      </c>
      <c r="E11" s="8">
        <f t="shared" si="3"/>
        <v>4.797353184449954E-2</v>
      </c>
      <c r="F11" s="8">
        <f t="shared" si="4"/>
        <v>5.0390964378800994E-2</v>
      </c>
      <c r="G11" s="6">
        <f t="shared" si="5"/>
        <v>373.77777777777703</v>
      </c>
    </row>
    <row r="12" spans="1:10">
      <c r="A12" s="5">
        <v>311</v>
      </c>
      <c r="B12" s="6">
        <f t="shared" si="0"/>
        <v>378.33333333333331</v>
      </c>
      <c r="C12" s="6">
        <f t="shared" si="1"/>
        <v>-67.333333333333314</v>
      </c>
      <c r="D12" s="6">
        <f t="shared" si="2"/>
        <v>67.333333333333314</v>
      </c>
      <c r="E12" s="8">
        <f t="shared" si="3"/>
        <v>0.21650589496248654</v>
      </c>
      <c r="F12" s="8">
        <f t="shared" si="4"/>
        <v>0.17797356828193828</v>
      </c>
      <c r="G12" s="6">
        <f t="shared" si="5"/>
        <v>4533.7777777777756</v>
      </c>
    </row>
    <row r="13" spans="1:10">
      <c r="A13" s="5">
        <v>311</v>
      </c>
      <c r="B13" s="6">
        <f t="shared" si="0"/>
        <v>369</v>
      </c>
      <c r="C13" s="6">
        <f t="shared" si="1"/>
        <v>-58</v>
      </c>
      <c r="D13" s="6">
        <f t="shared" si="2"/>
        <v>58</v>
      </c>
      <c r="E13" s="8">
        <f t="shared" si="3"/>
        <v>0.18649517684887459</v>
      </c>
      <c r="F13" s="8">
        <f t="shared" si="4"/>
        <v>0.15718157181571815</v>
      </c>
      <c r="G13" s="6">
        <f t="shared" si="5"/>
        <v>3364</v>
      </c>
    </row>
    <row r="14" spans="1:10">
      <c r="A14" s="5">
        <v>457</v>
      </c>
      <c r="B14" s="6">
        <f t="shared" si="0"/>
        <v>341.66666666666669</v>
      </c>
      <c r="C14" s="6">
        <f t="shared" si="1"/>
        <v>115.33333333333331</v>
      </c>
      <c r="D14" s="6">
        <f t="shared" si="2"/>
        <v>115.33333333333331</v>
      </c>
      <c r="E14" s="8">
        <f t="shared" si="3"/>
        <v>0.25237053245805979</v>
      </c>
      <c r="F14" s="8">
        <f t="shared" si="4"/>
        <v>0.33756097560975601</v>
      </c>
      <c r="G14" s="6">
        <f t="shared" si="5"/>
        <v>13301.777777777774</v>
      </c>
    </row>
    <row r="15" spans="1:10">
      <c r="A15" s="5">
        <v>186</v>
      </c>
      <c r="B15" s="6">
        <f t="shared" si="0"/>
        <v>359.66666666666669</v>
      </c>
      <c r="C15" s="6">
        <f t="shared" si="1"/>
        <v>-173.66666666666669</v>
      </c>
      <c r="D15" s="6">
        <f t="shared" si="2"/>
        <v>173.66666666666669</v>
      </c>
      <c r="E15" s="8">
        <f t="shared" si="3"/>
        <v>0.93369175627240153</v>
      </c>
      <c r="F15" s="8">
        <f t="shared" si="4"/>
        <v>0.48285449490268773</v>
      </c>
      <c r="G15" s="6">
        <f t="shared" si="5"/>
        <v>30160.111111111117</v>
      </c>
    </row>
    <row r="16" spans="1:10">
      <c r="A16" s="5">
        <v>197</v>
      </c>
      <c r="B16" s="6">
        <f t="shared" si="0"/>
        <v>318</v>
      </c>
      <c r="C16" s="6">
        <f t="shared" si="1"/>
        <v>-121</v>
      </c>
      <c r="D16" s="6">
        <f t="shared" si="2"/>
        <v>121</v>
      </c>
      <c r="E16" s="8">
        <f t="shared" si="3"/>
        <v>0.6142131979695431</v>
      </c>
      <c r="F16" s="8">
        <f t="shared" si="4"/>
        <v>0.38050314465408808</v>
      </c>
      <c r="G16" s="6">
        <f t="shared" si="5"/>
        <v>14641</v>
      </c>
    </row>
    <row r="17" spans="1:7">
      <c r="A17" s="5">
        <v>369</v>
      </c>
      <c r="B17" s="6">
        <f t="shared" si="0"/>
        <v>280</v>
      </c>
      <c r="C17" s="6">
        <f t="shared" si="1"/>
        <v>89</v>
      </c>
      <c r="D17" s="6">
        <f t="shared" si="2"/>
        <v>89</v>
      </c>
      <c r="E17" s="8">
        <f t="shared" si="3"/>
        <v>0.24119241192411925</v>
      </c>
      <c r="F17" s="8">
        <f t="shared" si="4"/>
        <v>0.31785714285714284</v>
      </c>
      <c r="G17" s="6">
        <f t="shared" si="5"/>
        <v>7921</v>
      </c>
    </row>
    <row r="18" spans="1:7">
      <c r="A18" s="5">
        <v>336</v>
      </c>
      <c r="B18" s="6">
        <f t="shared" si="0"/>
        <v>250.66666666666666</v>
      </c>
      <c r="C18" s="6">
        <f t="shared" si="1"/>
        <v>85.333333333333343</v>
      </c>
      <c r="D18" s="6">
        <f t="shared" si="2"/>
        <v>85.333333333333343</v>
      </c>
      <c r="E18" s="8">
        <f t="shared" si="3"/>
        <v>0.25396825396825401</v>
      </c>
      <c r="F18" s="8">
        <f t="shared" si="4"/>
        <v>0.34042553191489366</v>
      </c>
      <c r="G18" s="6">
        <f t="shared" si="5"/>
        <v>7281.7777777777792</v>
      </c>
    </row>
    <row r="19" spans="1:7">
      <c r="A19" s="5">
        <v>353</v>
      </c>
      <c r="B19" s="6">
        <f t="shared" si="0"/>
        <v>300.66666666666669</v>
      </c>
      <c r="C19" s="6">
        <f t="shared" si="1"/>
        <v>52.333333333333314</v>
      </c>
      <c r="D19" s="6">
        <f t="shared" si="2"/>
        <v>52.333333333333314</v>
      </c>
      <c r="E19" s="8">
        <f t="shared" si="3"/>
        <v>0.14825306893295556</v>
      </c>
      <c r="F19" s="8">
        <f t="shared" si="4"/>
        <v>0.17405764966740569</v>
      </c>
      <c r="G19" s="6">
        <f t="shared" si="5"/>
        <v>2738.777777777776</v>
      </c>
    </row>
    <row r="20" spans="1:7">
      <c r="A20" s="5">
        <v>197</v>
      </c>
      <c r="B20" s="6">
        <f t="shared" si="0"/>
        <v>352.66666666666669</v>
      </c>
      <c r="C20" s="6">
        <f t="shared" si="1"/>
        <v>-155.66666666666669</v>
      </c>
      <c r="D20" s="6">
        <f t="shared" si="2"/>
        <v>155.66666666666669</v>
      </c>
      <c r="E20" s="8">
        <f t="shared" si="3"/>
        <v>0.790186125211506</v>
      </c>
      <c r="F20" s="8">
        <f t="shared" si="4"/>
        <v>0.44139886578449911</v>
      </c>
      <c r="G20" s="6">
        <f t="shared" si="5"/>
        <v>24232.111111111117</v>
      </c>
    </row>
    <row r="21" spans="1:7">
      <c r="A21" s="5">
        <v>289</v>
      </c>
      <c r="B21" s="6">
        <f t="shared" si="0"/>
        <v>295.33333333333331</v>
      </c>
      <c r="C21" s="6">
        <f t="shared" si="1"/>
        <v>-6.3333333333333144</v>
      </c>
      <c r="D21" s="6">
        <f t="shared" si="2"/>
        <v>6.3333333333333144</v>
      </c>
      <c r="E21" s="8">
        <f t="shared" si="3"/>
        <v>2.1914648212226003E-2</v>
      </c>
      <c r="F21" s="8">
        <f t="shared" si="4"/>
        <v>2.1444695259593617E-2</v>
      </c>
      <c r="G21" s="6">
        <f t="shared" si="5"/>
        <v>40.111111111110873</v>
      </c>
    </row>
    <row r="22" spans="1:7">
      <c r="A22" s="5">
        <v>303</v>
      </c>
      <c r="B22" s="6">
        <f t="shared" si="0"/>
        <v>279.66666666666669</v>
      </c>
      <c r="C22" s="6">
        <f t="shared" si="1"/>
        <v>23.333333333333314</v>
      </c>
      <c r="D22" s="6">
        <f t="shared" si="2"/>
        <v>23.333333333333314</v>
      </c>
      <c r="E22" s="8">
        <f t="shared" si="3"/>
        <v>7.7007700770076945E-2</v>
      </c>
      <c r="F22" s="8">
        <f t="shared" si="4"/>
        <v>8.3432657926102424E-2</v>
      </c>
      <c r="G22" s="6">
        <f t="shared" si="5"/>
        <v>544.44444444444355</v>
      </c>
    </row>
    <row r="23" spans="1:7">
      <c r="A23" s="5">
        <v>419</v>
      </c>
      <c r="B23" s="6">
        <f t="shared" si="0"/>
        <v>263</v>
      </c>
      <c r="C23" s="6">
        <f t="shared" si="1"/>
        <v>156</v>
      </c>
      <c r="D23" s="6">
        <f t="shared" si="2"/>
        <v>156</v>
      </c>
      <c r="E23" s="8">
        <f t="shared" si="3"/>
        <v>0.37231503579952269</v>
      </c>
      <c r="F23" s="8">
        <f t="shared" si="4"/>
        <v>0.59315589353612164</v>
      </c>
      <c r="G23" s="6">
        <f t="shared" si="5"/>
        <v>24336</v>
      </c>
    </row>
    <row r="24" spans="1:7">
      <c r="A24" s="5">
        <v>65</v>
      </c>
      <c r="B24" s="6">
        <f t="shared" si="0"/>
        <v>337</v>
      </c>
      <c r="C24" s="6">
        <f t="shared" si="1"/>
        <v>-272</v>
      </c>
      <c r="D24" s="6">
        <f t="shared" si="2"/>
        <v>272</v>
      </c>
      <c r="E24" s="8">
        <f t="shared" si="3"/>
        <v>4.1846153846153848</v>
      </c>
      <c r="F24" s="8">
        <f t="shared" si="4"/>
        <v>0.80712166172106825</v>
      </c>
      <c r="G24" s="6">
        <f t="shared" si="5"/>
        <v>73984</v>
      </c>
    </row>
    <row r="25" spans="1:7">
      <c r="A25" s="5">
        <v>430</v>
      </c>
      <c r="B25" s="6">
        <f t="shared" si="0"/>
        <v>262.33333333333331</v>
      </c>
      <c r="C25" s="6">
        <f t="shared" si="1"/>
        <v>167.66666666666669</v>
      </c>
      <c r="D25" s="6">
        <f t="shared" si="2"/>
        <v>167.66666666666669</v>
      </c>
      <c r="E25" s="8">
        <f t="shared" si="3"/>
        <v>0.38992248062015511</v>
      </c>
      <c r="F25" s="8">
        <f t="shared" si="4"/>
        <v>0.63913595933926315</v>
      </c>
      <c r="G25" s="6">
        <f t="shared" si="5"/>
        <v>28112.111111111117</v>
      </c>
    </row>
    <row r="26" spans="1:7">
      <c r="A26" s="5">
        <v>437</v>
      </c>
      <c r="B26" s="6">
        <f t="shared" si="0"/>
        <v>304.66666666666669</v>
      </c>
      <c r="C26" s="6">
        <f t="shared" si="1"/>
        <v>132.33333333333331</v>
      </c>
      <c r="D26" s="6">
        <f t="shared" si="2"/>
        <v>132.33333333333331</v>
      </c>
      <c r="E26" s="8">
        <f t="shared" si="3"/>
        <v>0.30282227307398929</v>
      </c>
      <c r="F26" s="8">
        <f t="shared" si="4"/>
        <v>0.43435448577680519</v>
      </c>
      <c r="G26" s="6">
        <f t="shared" si="5"/>
        <v>17512.111111111106</v>
      </c>
    </row>
    <row r="27" spans="1:7">
      <c r="A27" s="5">
        <v>389</v>
      </c>
      <c r="B27" s="6">
        <f t="shared" si="0"/>
        <v>310.66666666666669</v>
      </c>
      <c r="C27" s="6">
        <f t="shared" si="1"/>
        <v>78.333333333333314</v>
      </c>
      <c r="D27" s="6">
        <f t="shared" si="2"/>
        <v>78.333333333333314</v>
      </c>
      <c r="E27" s="8">
        <f t="shared" si="3"/>
        <v>0.2013710368466152</v>
      </c>
      <c r="F27" s="8">
        <f t="shared" si="4"/>
        <v>0.25214592274678105</v>
      </c>
      <c r="G27" s="6">
        <f t="shared" si="5"/>
        <v>6136.1111111111086</v>
      </c>
    </row>
    <row r="28" spans="1:7">
      <c r="A28" s="5">
        <v>344</v>
      </c>
      <c r="B28" s="6">
        <f t="shared" si="0"/>
        <v>418.66666666666669</v>
      </c>
      <c r="C28" s="6">
        <f t="shared" si="1"/>
        <v>-74.666666666666686</v>
      </c>
      <c r="D28" s="6">
        <f t="shared" si="2"/>
        <v>74.666666666666686</v>
      </c>
      <c r="E28" s="8">
        <f t="shared" si="3"/>
        <v>0.21705426356589153</v>
      </c>
      <c r="F28" s="8">
        <f t="shared" si="4"/>
        <v>0.17834394904458603</v>
      </c>
      <c r="G28" s="6">
        <f t="shared" si="5"/>
        <v>5575.111111111114</v>
      </c>
    </row>
    <row r="29" spans="1:7">
      <c r="A29" s="5">
        <v>324</v>
      </c>
      <c r="B29" s="6">
        <f t="shared" si="0"/>
        <v>390</v>
      </c>
      <c r="C29" s="6">
        <f t="shared" si="1"/>
        <v>-66</v>
      </c>
      <c r="D29" s="6">
        <f t="shared" si="2"/>
        <v>66</v>
      </c>
      <c r="E29" s="8">
        <f t="shared" si="3"/>
        <v>0.20370370370370369</v>
      </c>
      <c r="F29" s="8">
        <f t="shared" si="4"/>
        <v>0.16923076923076924</v>
      </c>
      <c r="G29" s="6">
        <f t="shared" si="5"/>
        <v>4356</v>
      </c>
    </row>
    <row r="30" spans="1:7">
      <c r="A30" s="5">
        <v>117</v>
      </c>
      <c r="B30" s="6">
        <f t="shared" si="0"/>
        <v>352.33333333333331</v>
      </c>
      <c r="C30" s="6">
        <f t="shared" si="1"/>
        <v>-235.33333333333331</v>
      </c>
      <c r="D30" s="6">
        <f t="shared" si="2"/>
        <v>235.33333333333331</v>
      </c>
      <c r="E30" s="8">
        <f t="shared" si="3"/>
        <v>2.0113960113960112</v>
      </c>
      <c r="F30" s="8">
        <f t="shared" si="4"/>
        <v>0.66792809839167455</v>
      </c>
      <c r="G30" s="6">
        <f t="shared" si="5"/>
        <v>55381.777777777766</v>
      </c>
    </row>
    <row r="31" spans="1:7">
      <c r="A31" s="5">
        <v>191</v>
      </c>
      <c r="B31" s="6">
        <f t="shared" si="0"/>
        <v>261.66666666666669</v>
      </c>
      <c r="C31" s="6">
        <f t="shared" si="1"/>
        <v>-70.666666666666686</v>
      </c>
      <c r="D31" s="6">
        <f t="shared" si="2"/>
        <v>70.666666666666686</v>
      </c>
      <c r="E31" s="8">
        <f t="shared" si="3"/>
        <v>0.36998254799301927</v>
      </c>
      <c r="F31" s="8">
        <f t="shared" si="4"/>
        <v>0.27006369426751597</v>
      </c>
      <c r="G31" s="6">
        <f t="shared" si="5"/>
        <v>4993.7777777777801</v>
      </c>
    </row>
    <row r="32" spans="1:7">
      <c r="A32" s="5">
        <v>348</v>
      </c>
      <c r="B32" s="6">
        <f t="shared" si="0"/>
        <v>210.66666666666666</v>
      </c>
      <c r="C32" s="6">
        <f t="shared" si="1"/>
        <v>137.33333333333334</v>
      </c>
      <c r="D32" s="6">
        <f t="shared" si="2"/>
        <v>137.33333333333334</v>
      </c>
      <c r="E32" s="8">
        <f t="shared" si="3"/>
        <v>0.39463601532567055</v>
      </c>
      <c r="F32" s="8">
        <f t="shared" si="4"/>
        <v>0.65189873417721522</v>
      </c>
      <c r="G32" s="6">
        <f t="shared" si="5"/>
        <v>18860.444444444445</v>
      </c>
    </row>
    <row r="33" spans="1:7">
      <c r="A33" s="5">
        <v>388</v>
      </c>
      <c r="B33" s="6">
        <f t="shared" si="0"/>
        <v>218.66666666666666</v>
      </c>
      <c r="C33" s="6">
        <f t="shared" si="1"/>
        <v>169.33333333333334</v>
      </c>
      <c r="D33" s="6">
        <f t="shared" si="2"/>
        <v>169.33333333333334</v>
      </c>
      <c r="E33" s="8">
        <f t="shared" si="3"/>
        <v>0.43642611683848798</v>
      </c>
      <c r="F33" s="8">
        <f t="shared" si="4"/>
        <v>0.77439024390243905</v>
      </c>
      <c r="G33" s="6">
        <f t="shared" si="5"/>
        <v>28673.777777777781</v>
      </c>
    </row>
    <row r="34" spans="1:7">
      <c r="A34" s="5">
        <v>125</v>
      </c>
      <c r="B34" s="6">
        <f t="shared" si="0"/>
        <v>309</v>
      </c>
      <c r="C34" s="6">
        <f t="shared" si="1"/>
        <v>-184</v>
      </c>
      <c r="D34" s="6">
        <f t="shared" si="2"/>
        <v>184</v>
      </c>
      <c r="E34" s="8">
        <f t="shared" si="3"/>
        <v>1.472</v>
      </c>
      <c r="F34" s="8">
        <f t="shared" si="4"/>
        <v>0.59546925566343045</v>
      </c>
      <c r="G34" s="6">
        <f t="shared" si="5"/>
        <v>33856</v>
      </c>
    </row>
    <row r="35" spans="1:7">
      <c r="A35" s="5">
        <v>234</v>
      </c>
      <c r="B35" s="6">
        <f t="shared" si="0"/>
        <v>287</v>
      </c>
      <c r="C35" s="6">
        <f t="shared" si="1"/>
        <v>-53</v>
      </c>
      <c r="D35" s="6">
        <f t="shared" si="2"/>
        <v>53</v>
      </c>
      <c r="E35" s="8">
        <f t="shared" si="3"/>
        <v>0.2264957264957265</v>
      </c>
      <c r="F35" s="8">
        <f t="shared" si="4"/>
        <v>0.18466898954703834</v>
      </c>
      <c r="G35" s="6">
        <f t="shared" si="5"/>
        <v>2809</v>
      </c>
    </row>
    <row r="36" spans="1:7">
      <c r="A36" s="5">
        <v>290</v>
      </c>
      <c r="B36" s="6">
        <f t="shared" si="0"/>
        <v>249</v>
      </c>
      <c r="C36" s="6">
        <f t="shared" si="1"/>
        <v>41</v>
      </c>
      <c r="D36" s="6">
        <f t="shared" si="2"/>
        <v>41</v>
      </c>
      <c r="E36" s="8">
        <f t="shared" si="3"/>
        <v>0.14137931034482759</v>
      </c>
      <c r="F36" s="8">
        <f t="shared" si="4"/>
        <v>0.1646586345381526</v>
      </c>
      <c r="G36" s="6">
        <f t="shared" si="5"/>
        <v>1681</v>
      </c>
    </row>
    <row r="37" spans="1:7">
      <c r="A37" s="5">
        <v>134</v>
      </c>
      <c r="B37" s="6">
        <f t="shared" si="0"/>
        <v>216.33333333333334</v>
      </c>
      <c r="C37" s="6">
        <f t="shared" si="1"/>
        <v>-82.333333333333343</v>
      </c>
      <c r="D37" s="6">
        <f t="shared" si="2"/>
        <v>82.333333333333343</v>
      </c>
      <c r="E37" s="8">
        <f t="shared" si="3"/>
        <v>0.61442786069651745</v>
      </c>
      <c r="F37" s="8">
        <f t="shared" si="4"/>
        <v>0.38058551617873654</v>
      </c>
      <c r="G37" s="6">
        <f t="shared" si="5"/>
        <v>6778.7777777777792</v>
      </c>
    </row>
    <row r="38" spans="1:7">
      <c r="A38" s="5">
        <v>308</v>
      </c>
      <c r="B38" s="6">
        <f t="shared" si="0"/>
        <v>219.33333333333334</v>
      </c>
      <c r="C38" s="6">
        <f t="shared" si="1"/>
        <v>88.666666666666657</v>
      </c>
      <c r="D38" s="6">
        <f t="shared" si="2"/>
        <v>88.666666666666657</v>
      </c>
      <c r="E38" s="8">
        <f t="shared" si="3"/>
        <v>0.28787878787878785</v>
      </c>
      <c r="F38" s="8">
        <f t="shared" si="4"/>
        <v>0.40425531914893609</v>
      </c>
      <c r="G38" s="6">
        <f t="shared" si="5"/>
        <v>7861.7777777777765</v>
      </c>
    </row>
    <row r="39" spans="1:7">
      <c r="A39" s="5">
        <v>415</v>
      </c>
      <c r="B39" s="6">
        <f t="shared" si="0"/>
        <v>244</v>
      </c>
      <c r="C39" s="6">
        <f t="shared" si="1"/>
        <v>171</v>
      </c>
      <c r="D39" s="6">
        <f t="shared" si="2"/>
        <v>171</v>
      </c>
      <c r="E39" s="8">
        <f t="shared" si="3"/>
        <v>0.41204819277108434</v>
      </c>
      <c r="F39" s="8">
        <f t="shared" si="4"/>
        <v>0.70081967213114749</v>
      </c>
      <c r="G39" s="6">
        <f t="shared" si="5"/>
        <v>29241</v>
      </c>
    </row>
    <row r="40" spans="1:7">
      <c r="A40" s="5">
        <v>211</v>
      </c>
      <c r="B40" s="6">
        <f t="shared" si="0"/>
        <v>285.66666666666669</v>
      </c>
      <c r="C40" s="6">
        <f t="shared" si="1"/>
        <v>-74.666666666666686</v>
      </c>
      <c r="D40" s="6">
        <f t="shared" si="2"/>
        <v>74.666666666666686</v>
      </c>
      <c r="E40" s="8">
        <f t="shared" si="3"/>
        <v>0.35387045813586104</v>
      </c>
      <c r="F40" s="8">
        <f t="shared" si="4"/>
        <v>0.26137689614935827</v>
      </c>
      <c r="G40" s="6">
        <f t="shared" si="5"/>
        <v>5575.111111111114</v>
      </c>
    </row>
    <row r="41" spans="1:7">
      <c r="A41" s="5">
        <v>276</v>
      </c>
      <c r="B41" s="6">
        <f t="shared" si="0"/>
        <v>311.33333333333331</v>
      </c>
      <c r="C41" s="6">
        <f t="shared" si="1"/>
        <v>-35.333333333333314</v>
      </c>
      <c r="D41" s="6">
        <f t="shared" si="2"/>
        <v>35.333333333333314</v>
      </c>
      <c r="E41" s="8">
        <f t="shared" si="3"/>
        <v>0.12801932367149751</v>
      </c>
      <c r="F41" s="8">
        <f t="shared" si="4"/>
        <v>0.11349036402569587</v>
      </c>
      <c r="G41" s="6">
        <f t="shared" si="5"/>
        <v>1248.4444444444432</v>
      </c>
    </row>
    <row r="42" spans="1:7">
      <c r="A42" s="5">
        <v>363</v>
      </c>
      <c r="B42" s="6">
        <f t="shared" si="0"/>
        <v>300.66666666666669</v>
      </c>
      <c r="C42" s="6">
        <f t="shared" si="1"/>
        <v>62.333333333333314</v>
      </c>
      <c r="D42" s="6">
        <f t="shared" si="2"/>
        <v>62.333333333333314</v>
      </c>
      <c r="E42" s="8">
        <f t="shared" si="3"/>
        <v>0.17171717171717166</v>
      </c>
      <c r="F42" s="8">
        <f t="shared" si="4"/>
        <v>0.20731707317073164</v>
      </c>
      <c r="G42" s="6">
        <f t="shared" si="5"/>
        <v>3885.4444444444421</v>
      </c>
    </row>
    <row r="43" spans="1:7">
      <c r="A43" s="5">
        <v>238</v>
      </c>
      <c r="B43" s="6">
        <f t="shared" si="0"/>
        <v>283.33333333333331</v>
      </c>
      <c r="C43" s="6">
        <f t="shared" si="1"/>
        <v>-45.333333333333314</v>
      </c>
      <c r="D43" s="6">
        <f t="shared" si="2"/>
        <v>45.333333333333314</v>
      </c>
      <c r="E43" s="8">
        <f t="shared" si="3"/>
        <v>0.19047619047619041</v>
      </c>
      <c r="F43" s="8">
        <f t="shared" si="4"/>
        <v>0.15999999999999995</v>
      </c>
      <c r="G43" s="6">
        <f t="shared" si="5"/>
        <v>2055.1111111111095</v>
      </c>
    </row>
    <row r="44" spans="1:7">
      <c r="A44" s="5">
        <v>158</v>
      </c>
      <c r="B44" s="6">
        <f t="shared" si="0"/>
        <v>292.33333333333331</v>
      </c>
      <c r="C44" s="6">
        <f t="shared" si="1"/>
        <v>-134.33333333333331</v>
      </c>
      <c r="D44" s="6">
        <f t="shared" si="2"/>
        <v>134.33333333333331</v>
      </c>
      <c r="E44" s="8">
        <f t="shared" si="3"/>
        <v>0.85021097046413485</v>
      </c>
      <c r="F44" s="8">
        <f t="shared" si="4"/>
        <v>0.45952109464082097</v>
      </c>
      <c r="G44" s="6">
        <f t="shared" si="5"/>
        <v>18045.444444444438</v>
      </c>
    </row>
    <row r="45" spans="1:7">
      <c r="A45" s="5">
        <v>331</v>
      </c>
      <c r="B45" s="6">
        <f t="shared" si="0"/>
        <v>253</v>
      </c>
      <c r="C45" s="6">
        <f t="shared" si="1"/>
        <v>78</v>
      </c>
      <c r="D45" s="6">
        <f t="shared" si="2"/>
        <v>78</v>
      </c>
      <c r="E45" s="8">
        <f t="shared" si="3"/>
        <v>0.23564954682779457</v>
      </c>
      <c r="F45" s="8">
        <f t="shared" si="4"/>
        <v>0.30830039525691699</v>
      </c>
      <c r="G45" s="6">
        <f t="shared" si="5"/>
        <v>6084</v>
      </c>
    </row>
    <row r="46" spans="1:7">
      <c r="A46" s="5">
        <v>324</v>
      </c>
      <c r="B46" s="6">
        <f t="shared" si="0"/>
        <v>242.33333333333334</v>
      </c>
      <c r="C46" s="6">
        <f t="shared" si="1"/>
        <v>81.666666666666657</v>
      </c>
      <c r="D46" s="6">
        <f t="shared" si="2"/>
        <v>81.666666666666657</v>
      </c>
      <c r="E46" s="8">
        <f t="shared" si="3"/>
        <v>0.25205761316872427</v>
      </c>
      <c r="F46" s="8">
        <f t="shared" si="4"/>
        <v>0.33700137551581838</v>
      </c>
      <c r="G46" s="6">
        <f t="shared" si="5"/>
        <v>6669.4444444444425</v>
      </c>
    </row>
    <row r="47" spans="1:7">
      <c r="A47" s="5">
        <v>20</v>
      </c>
      <c r="B47" s="6">
        <f t="shared" si="0"/>
        <v>271</v>
      </c>
      <c r="C47" s="6">
        <f t="shared" si="1"/>
        <v>-251</v>
      </c>
      <c r="D47" s="6">
        <f t="shared" si="2"/>
        <v>251</v>
      </c>
      <c r="E47" s="8">
        <f t="shared" si="3"/>
        <v>12.55</v>
      </c>
      <c r="F47" s="8">
        <f t="shared" si="4"/>
        <v>0.92619926199261993</v>
      </c>
      <c r="G47" s="6">
        <f t="shared" si="5"/>
        <v>63001</v>
      </c>
    </row>
    <row r="48" spans="1:7">
      <c r="A48" s="5">
        <v>133</v>
      </c>
      <c r="B48" s="6">
        <f t="shared" si="0"/>
        <v>225</v>
      </c>
      <c r="C48" s="6">
        <f t="shared" si="1"/>
        <v>-92</v>
      </c>
      <c r="D48" s="6">
        <f t="shared" si="2"/>
        <v>92</v>
      </c>
      <c r="E48" s="8">
        <f t="shared" si="3"/>
        <v>0.69172932330827064</v>
      </c>
      <c r="F48" s="8">
        <f t="shared" si="4"/>
        <v>0.40888888888888891</v>
      </c>
      <c r="G48" s="6">
        <f t="shared" si="5"/>
        <v>8464</v>
      </c>
    </row>
    <row r="49" spans="1:7">
      <c r="A49" s="5">
        <v>389</v>
      </c>
      <c r="B49" s="6">
        <f t="shared" si="0"/>
        <v>159</v>
      </c>
      <c r="C49" s="6">
        <f t="shared" si="1"/>
        <v>230</v>
      </c>
      <c r="D49" s="6">
        <f t="shared" si="2"/>
        <v>230</v>
      </c>
      <c r="E49" s="8">
        <f t="shared" si="3"/>
        <v>0.59125964010282772</v>
      </c>
      <c r="F49" s="8">
        <f t="shared" si="4"/>
        <v>1.4465408805031446</v>
      </c>
      <c r="G49" s="6">
        <f t="shared" si="5"/>
        <v>52900</v>
      </c>
    </row>
    <row r="50" spans="1:7">
      <c r="A50" s="5">
        <v>207</v>
      </c>
      <c r="B50" s="6">
        <f t="shared" si="0"/>
        <v>180.66666666666666</v>
      </c>
      <c r="C50" s="6">
        <f t="shared" si="1"/>
        <v>26.333333333333343</v>
      </c>
      <c r="D50" s="6">
        <f t="shared" si="2"/>
        <v>26.333333333333343</v>
      </c>
      <c r="E50" s="8">
        <f t="shared" si="3"/>
        <v>0.1272141706924316</v>
      </c>
      <c r="F50" s="8">
        <f t="shared" si="4"/>
        <v>0.1457564575645757</v>
      </c>
      <c r="G50" s="6">
        <f t="shared" si="5"/>
        <v>693.44444444444491</v>
      </c>
    </row>
    <row r="51" spans="1:7">
      <c r="A51" s="5">
        <v>331</v>
      </c>
      <c r="B51" s="6">
        <f t="shared" si="0"/>
        <v>243</v>
      </c>
      <c r="C51" s="6">
        <f t="shared" si="1"/>
        <v>88</v>
      </c>
      <c r="D51" s="6">
        <f t="shared" si="2"/>
        <v>88</v>
      </c>
      <c r="E51" s="8">
        <f t="shared" si="3"/>
        <v>0.26586102719033233</v>
      </c>
      <c r="F51" s="8">
        <f t="shared" si="4"/>
        <v>0.36213991769547327</v>
      </c>
      <c r="G51" s="6">
        <f t="shared" si="5"/>
        <v>7744</v>
      </c>
    </row>
    <row r="52" spans="1:7">
      <c r="A52" s="5">
        <v>20</v>
      </c>
      <c r="B52" s="6">
        <f t="shared" si="0"/>
        <v>309</v>
      </c>
      <c r="C52" s="6">
        <f t="shared" si="1"/>
        <v>-289</v>
      </c>
      <c r="D52" s="6">
        <f t="shared" si="2"/>
        <v>289</v>
      </c>
      <c r="E52" s="8">
        <f t="shared" si="3"/>
        <v>14.45</v>
      </c>
      <c r="F52" s="8">
        <f t="shared" si="4"/>
        <v>0.93527508090614886</v>
      </c>
      <c r="G52" s="6">
        <f t="shared" si="5"/>
        <v>83521</v>
      </c>
    </row>
    <row r="53" spans="1:7">
      <c r="A53" s="5">
        <v>153</v>
      </c>
      <c r="B53" s="6">
        <f t="shared" si="0"/>
        <v>186</v>
      </c>
      <c r="C53" s="6">
        <f t="shared" si="1"/>
        <v>-33</v>
      </c>
      <c r="D53" s="6">
        <f t="shared" si="2"/>
        <v>33</v>
      </c>
      <c r="E53" s="8">
        <f t="shared" si="3"/>
        <v>0.21568627450980393</v>
      </c>
      <c r="F53" s="8">
        <f t="shared" si="4"/>
        <v>0.17741935483870969</v>
      </c>
      <c r="G53" s="6">
        <f t="shared" si="5"/>
        <v>1089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E3E0-DEB3-40A9-9323-9BB14B291B82}">
  <dimension ref="A1:J53"/>
  <sheetViews>
    <sheetView workbookViewId="0">
      <selection activeCell="J11" sqref="J11"/>
    </sheetView>
  </sheetViews>
  <sheetFormatPr baseColWidth="10" defaultRowHeight="14.25"/>
  <cols>
    <col min="1" max="1" width="11" style="1"/>
    <col min="7" max="7" width="16" customWidth="1"/>
    <col min="9" max="9" width="17" customWidth="1"/>
  </cols>
  <sheetData>
    <row r="1" spans="1:10" ht="15">
      <c r="A1" s="10" t="s">
        <v>0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I1" s="12" t="s">
        <v>15</v>
      </c>
      <c r="J1" t="s">
        <v>4</v>
      </c>
    </row>
    <row r="2" spans="1:10">
      <c r="A2" s="5">
        <v>154</v>
      </c>
      <c r="B2" s="5"/>
      <c r="C2" s="5"/>
      <c r="D2" s="5"/>
      <c r="E2" s="5"/>
      <c r="F2" s="5"/>
      <c r="G2" s="5"/>
      <c r="H2" s="16" t="s">
        <v>8</v>
      </c>
      <c r="I2" s="9">
        <f>AVERAGE(E$5:E$25)</f>
        <v>0.12946730756236857</v>
      </c>
      <c r="J2" s="4"/>
    </row>
    <row r="3" spans="1:10">
      <c r="A3" s="5">
        <v>187</v>
      </c>
      <c r="B3" s="5"/>
      <c r="C3" s="5"/>
      <c r="D3" s="5"/>
      <c r="E3" s="5"/>
      <c r="F3" s="5"/>
      <c r="G3" s="5"/>
      <c r="H3" s="16" t="s">
        <v>7</v>
      </c>
      <c r="I3" s="9">
        <f>AVERAGE(F$5:F$25)</f>
        <v>0.12464087891686106</v>
      </c>
    </row>
    <row r="4" spans="1:10">
      <c r="A4" s="5">
        <v>163</v>
      </c>
      <c r="B4" s="5"/>
      <c r="C4" s="5"/>
      <c r="D4" s="5"/>
      <c r="E4" s="5"/>
      <c r="F4" s="5"/>
      <c r="G4" s="5"/>
      <c r="H4" s="16" t="s">
        <v>6</v>
      </c>
      <c r="I4" s="6">
        <f>AVERAGE(G$5:G$25)</f>
        <v>609.35449735449743</v>
      </c>
    </row>
    <row r="5" spans="1:10">
      <c r="A5" s="5">
        <v>197</v>
      </c>
      <c r="B5" s="6">
        <f>AVERAGE(A2:A4)</f>
        <v>168</v>
      </c>
      <c r="C5" s="6">
        <f>A5-B5</f>
        <v>29</v>
      </c>
      <c r="D5" s="6">
        <f>ABS(C5)</f>
        <v>29</v>
      </c>
      <c r="E5" s="7">
        <f>D5/A5</f>
        <v>0.14720812182741116</v>
      </c>
      <c r="F5" s="8">
        <f>D5/B5</f>
        <v>0.17261904761904762</v>
      </c>
      <c r="G5" s="6">
        <f>D5*D5</f>
        <v>841</v>
      </c>
      <c r="H5" s="16" t="s">
        <v>5</v>
      </c>
      <c r="I5" s="5">
        <f>SQRT(I4)</f>
        <v>24.685106792446685</v>
      </c>
    </row>
    <row r="6" spans="1:10">
      <c r="A6" s="5">
        <v>162</v>
      </c>
      <c r="B6" s="6">
        <f>AVERAGE(A3:A5)</f>
        <v>182.33333333333334</v>
      </c>
      <c r="C6" s="6">
        <f t="shared" ref="C6:C25" si="0">A6-B6</f>
        <v>-20.333333333333343</v>
      </c>
      <c r="D6" s="6">
        <f t="shared" ref="D6:D25" si="1">ABS(C6)</f>
        <v>20.333333333333343</v>
      </c>
      <c r="E6" s="8">
        <f t="shared" ref="E6:E25" si="2">D6/A6</f>
        <v>0.12551440329218114</v>
      </c>
      <c r="F6" s="8">
        <f t="shared" ref="F6:F25" si="3">D6/B6</f>
        <v>0.11151736745886659</v>
      </c>
      <c r="G6" s="6">
        <f t="shared" ref="G6:G25" si="4">D6*D6</f>
        <v>413.44444444444485</v>
      </c>
    </row>
    <row r="7" spans="1:10">
      <c r="A7" s="5">
        <v>191</v>
      </c>
      <c r="B7" s="6">
        <f t="shared" ref="B6:B25" si="5">AVERAGE(A4:A6)</f>
        <v>174</v>
      </c>
      <c r="C7" s="6">
        <f t="shared" si="0"/>
        <v>17</v>
      </c>
      <c r="D7" s="6">
        <f t="shared" si="1"/>
        <v>17</v>
      </c>
      <c r="E7" s="8">
        <f t="shared" si="2"/>
        <v>8.9005235602094238E-2</v>
      </c>
      <c r="F7" s="8">
        <f t="shared" si="3"/>
        <v>9.7701149425287362E-2</v>
      </c>
      <c r="G7" s="6">
        <f t="shared" si="4"/>
        <v>289</v>
      </c>
    </row>
    <row r="8" spans="1:10">
      <c r="A8" s="5">
        <v>133</v>
      </c>
      <c r="B8" s="6">
        <f t="shared" si="5"/>
        <v>183.33333333333334</v>
      </c>
      <c r="C8" s="6">
        <f t="shared" si="0"/>
        <v>-50.333333333333343</v>
      </c>
      <c r="D8" s="6">
        <f t="shared" si="1"/>
        <v>50.333333333333343</v>
      </c>
      <c r="E8" s="8">
        <f t="shared" si="2"/>
        <v>0.37844611528822064</v>
      </c>
      <c r="F8" s="8">
        <f t="shared" si="3"/>
        <v>0.27454545454545459</v>
      </c>
      <c r="G8" s="6">
        <f t="shared" si="4"/>
        <v>2533.4444444444453</v>
      </c>
    </row>
    <row r="9" spans="1:10">
      <c r="A9" s="5">
        <v>145</v>
      </c>
      <c r="B9" s="6">
        <f t="shared" si="5"/>
        <v>162</v>
      </c>
      <c r="C9" s="6">
        <f t="shared" si="0"/>
        <v>-17</v>
      </c>
      <c r="D9" s="6">
        <f t="shared" si="1"/>
        <v>17</v>
      </c>
      <c r="E9" s="8">
        <f t="shared" si="2"/>
        <v>0.11724137931034483</v>
      </c>
      <c r="F9" s="8">
        <f t="shared" si="3"/>
        <v>0.10493827160493827</v>
      </c>
      <c r="G9" s="6">
        <f t="shared" si="4"/>
        <v>289</v>
      </c>
    </row>
    <row r="10" spans="1:10">
      <c r="A10" s="5">
        <v>176</v>
      </c>
      <c r="B10" s="6">
        <f t="shared" si="5"/>
        <v>156.33333333333334</v>
      </c>
      <c r="C10" s="6">
        <f t="shared" si="0"/>
        <v>19.666666666666657</v>
      </c>
      <c r="D10" s="6">
        <f t="shared" si="1"/>
        <v>19.666666666666657</v>
      </c>
      <c r="E10" s="8">
        <f t="shared" si="2"/>
        <v>0.11174242424242418</v>
      </c>
      <c r="F10" s="8">
        <f t="shared" si="3"/>
        <v>0.12579957356076751</v>
      </c>
      <c r="G10" s="6">
        <f t="shared" si="4"/>
        <v>386.77777777777743</v>
      </c>
    </row>
    <row r="11" spans="1:10">
      <c r="A11" s="5">
        <v>193</v>
      </c>
      <c r="B11" s="6">
        <f t="shared" si="5"/>
        <v>151.33333333333334</v>
      </c>
      <c r="C11" s="6">
        <f t="shared" si="0"/>
        <v>41.666666666666657</v>
      </c>
      <c r="D11" s="6">
        <f t="shared" si="1"/>
        <v>41.666666666666657</v>
      </c>
      <c r="E11" s="8">
        <f t="shared" si="2"/>
        <v>0.21588946459412775</v>
      </c>
      <c r="F11" s="8">
        <f t="shared" si="3"/>
        <v>0.27533039647577084</v>
      </c>
      <c r="G11" s="6">
        <f t="shared" si="4"/>
        <v>1736.1111111111104</v>
      </c>
    </row>
    <row r="12" spans="1:10">
      <c r="A12" s="5">
        <v>165</v>
      </c>
      <c r="B12" s="6">
        <f t="shared" si="5"/>
        <v>171.33333333333334</v>
      </c>
      <c r="C12" s="6">
        <f t="shared" si="0"/>
        <v>-6.3333333333333428</v>
      </c>
      <c r="D12" s="6">
        <f t="shared" si="1"/>
        <v>6.3333333333333428</v>
      </c>
      <c r="E12" s="8">
        <f t="shared" si="2"/>
        <v>3.8383838383838444E-2</v>
      </c>
      <c r="F12" s="8">
        <f t="shared" si="3"/>
        <v>3.6964980544747138E-2</v>
      </c>
      <c r="G12" s="6">
        <f t="shared" si="4"/>
        <v>40.111111111111228</v>
      </c>
    </row>
    <row r="13" spans="1:10">
      <c r="A13" s="5">
        <v>198</v>
      </c>
      <c r="B13" s="6">
        <f t="shared" si="5"/>
        <v>178</v>
      </c>
      <c r="C13" s="6">
        <f t="shared" si="0"/>
        <v>20</v>
      </c>
      <c r="D13" s="6">
        <f t="shared" si="1"/>
        <v>20</v>
      </c>
      <c r="E13" s="8">
        <f t="shared" si="2"/>
        <v>0.10101010101010101</v>
      </c>
      <c r="F13" s="8">
        <f t="shared" si="3"/>
        <v>0.11235955056179775</v>
      </c>
      <c r="G13" s="6">
        <f t="shared" si="4"/>
        <v>400</v>
      </c>
    </row>
    <row r="14" spans="1:10">
      <c r="A14" s="5">
        <v>150</v>
      </c>
      <c r="B14" s="6">
        <f t="shared" si="5"/>
        <v>185.33333333333334</v>
      </c>
      <c r="C14" s="6">
        <f t="shared" si="0"/>
        <v>-35.333333333333343</v>
      </c>
      <c r="D14" s="6">
        <f t="shared" si="1"/>
        <v>35.333333333333343</v>
      </c>
      <c r="E14" s="8">
        <f t="shared" si="2"/>
        <v>0.23555555555555563</v>
      </c>
      <c r="F14" s="8">
        <f t="shared" si="3"/>
        <v>0.19064748201438853</v>
      </c>
      <c r="G14" s="6">
        <f t="shared" si="4"/>
        <v>1248.444444444445</v>
      </c>
    </row>
    <row r="15" spans="1:10">
      <c r="A15" s="5">
        <v>192</v>
      </c>
      <c r="B15" s="6">
        <f t="shared" si="5"/>
        <v>171</v>
      </c>
      <c r="C15" s="6">
        <f t="shared" si="0"/>
        <v>21</v>
      </c>
      <c r="D15" s="6">
        <f t="shared" si="1"/>
        <v>21</v>
      </c>
      <c r="E15" s="8">
        <f t="shared" si="2"/>
        <v>0.109375</v>
      </c>
      <c r="F15" s="8">
        <f t="shared" si="3"/>
        <v>0.12280701754385964</v>
      </c>
      <c r="G15" s="6">
        <f t="shared" si="4"/>
        <v>441</v>
      </c>
    </row>
    <row r="16" spans="1:10">
      <c r="A16" s="5">
        <v>186</v>
      </c>
      <c r="B16" s="6">
        <f t="shared" si="5"/>
        <v>180</v>
      </c>
      <c r="C16" s="6">
        <f t="shared" si="0"/>
        <v>6</v>
      </c>
      <c r="D16" s="6">
        <f t="shared" si="1"/>
        <v>6</v>
      </c>
      <c r="E16" s="8">
        <f t="shared" si="2"/>
        <v>3.2258064516129031E-2</v>
      </c>
      <c r="F16" s="8">
        <f t="shared" si="3"/>
        <v>3.3333333333333333E-2</v>
      </c>
      <c r="G16" s="6">
        <f t="shared" si="4"/>
        <v>36</v>
      </c>
    </row>
    <row r="17" spans="1:7">
      <c r="A17" s="5">
        <v>177</v>
      </c>
      <c r="B17" s="6">
        <f t="shared" si="5"/>
        <v>176</v>
      </c>
      <c r="C17" s="6">
        <f t="shared" si="0"/>
        <v>1</v>
      </c>
      <c r="D17" s="6">
        <f t="shared" si="1"/>
        <v>1</v>
      </c>
      <c r="E17" s="8">
        <f t="shared" si="2"/>
        <v>5.6497175141242938E-3</v>
      </c>
      <c r="F17" s="8">
        <f t="shared" si="3"/>
        <v>5.681818181818182E-3</v>
      </c>
      <c r="G17" s="6">
        <f t="shared" si="4"/>
        <v>1</v>
      </c>
    </row>
    <row r="18" spans="1:7">
      <c r="A18" s="5">
        <v>153</v>
      </c>
      <c r="B18" s="6">
        <f t="shared" si="5"/>
        <v>185</v>
      </c>
      <c r="C18" s="6">
        <f t="shared" si="0"/>
        <v>-32</v>
      </c>
      <c r="D18" s="6">
        <f t="shared" si="1"/>
        <v>32</v>
      </c>
      <c r="E18" s="8">
        <f t="shared" si="2"/>
        <v>0.20915032679738563</v>
      </c>
      <c r="F18" s="8">
        <f t="shared" si="3"/>
        <v>0.17297297297297298</v>
      </c>
      <c r="G18" s="6">
        <f t="shared" si="4"/>
        <v>1024</v>
      </c>
    </row>
    <row r="19" spans="1:7">
      <c r="A19" s="5">
        <v>155</v>
      </c>
      <c r="B19" s="6">
        <f t="shared" si="5"/>
        <v>172</v>
      </c>
      <c r="C19" s="6">
        <f t="shared" si="0"/>
        <v>-17</v>
      </c>
      <c r="D19" s="6">
        <f t="shared" si="1"/>
        <v>17</v>
      </c>
      <c r="E19" s="8">
        <f t="shared" si="2"/>
        <v>0.10967741935483871</v>
      </c>
      <c r="F19" s="8">
        <f t="shared" si="3"/>
        <v>9.8837209302325577E-2</v>
      </c>
      <c r="G19" s="6">
        <f t="shared" si="4"/>
        <v>289</v>
      </c>
    </row>
    <row r="20" spans="1:7">
      <c r="A20" s="5">
        <v>160</v>
      </c>
      <c r="B20" s="6">
        <f t="shared" si="5"/>
        <v>161.66666666666666</v>
      </c>
      <c r="C20" s="6">
        <f t="shared" si="0"/>
        <v>-1.6666666666666572</v>
      </c>
      <c r="D20" s="6">
        <f t="shared" si="1"/>
        <v>1.6666666666666572</v>
      </c>
      <c r="E20" s="8">
        <f t="shared" si="2"/>
        <v>1.0416666666666607E-2</v>
      </c>
      <c r="F20" s="8">
        <f t="shared" si="3"/>
        <v>1.0309278350515406E-2</v>
      </c>
      <c r="G20" s="6">
        <f t="shared" si="4"/>
        <v>2.7777777777777461</v>
      </c>
    </row>
    <row r="21" spans="1:7">
      <c r="A21" s="5">
        <v>159</v>
      </c>
      <c r="B21" s="6">
        <f t="shared" si="5"/>
        <v>156</v>
      </c>
      <c r="C21" s="6">
        <f t="shared" si="0"/>
        <v>3</v>
      </c>
      <c r="D21" s="6">
        <f t="shared" si="1"/>
        <v>3</v>
      </c>
      <c r="E21" s="8">
        <f t="shared" si="2"/>
        <v>1.8867924528301886E-2</v>
      </c>
      <c r="F21" s="8">
        <f t="shared" si="3"/>
        <v>1.9230769230769232E-2</v>
      </c>
      <c r="G21" s="6">
        <f t="shared" si="4"/>
        <v>9</v>
      </c>
    </row>
    <row r="22" spans="1:7">
      <c r="A22" s="5">
        <v>133</v>
      </c>
      <c r="B22" s="6">
        <f t="shared" si="5"/>
        <v>158</v>
      </c>
      <c r="C22" s="6">
        <f t="shared" si="0"/>
        <v>-25</v>
      </c>
      <c r="D22" s="6">
        <f t="shared" si="1"/>
        <v>25</v>
      </c>
      <c r="E22" s="8">
        <f t="shared" si="2"/>
        <v>0.18796992481203006</v>
      </c>
      <c r="F22" s="8">
        <f t="shared" si="3"/>
        <v>0.15822784810126583</v>
      </c>
      <c r="G22" s="6">
        <f t="shared" si="4"/>
        <v>625</v>
      </c>
    </row>
    <row r="23" spans="1:7">
      <c r="A23" s="5">
        <v>189</v>
      </c>
      <c r="B23" s="6">
        <f t="shared" si="5"/>
        <v>150.66666666666666</v>
      </c>
      <c r="C23" s="6">
        <f t="shared" si="0"/>
        <v>38.333333333333343</v>
      </c>
      <c r="D23" s="6">
        <f t="shared" si="1"/>
        <v>38.333333333333343</v>
      </c>
      <c r="E23" s="8">
        <f t="shared" si="2"/>
        <v>0.2028218694885362</v>
      </c>
      <c r="F23" s="8">
        <f t="shared" si="3"/>
        <v>0.25442477876106201</v>
      </c>
      <c r="G23" s="6">
        <f t="shared" si="4"/>
        <v>1469.4444444444453</v>
      </c>
    </row>
    <row r="24" spans="1:7">
      <c r="A24" s="5">
        <v>144</v>
      </c>
      <c r="B24" s="6">
        <f t="shared" si="5"/>
        <v>160.33333333333334</v>
      </c>
      <c r="C24" s="6">
        <f t="shared" si="0"/>
        <v>-16.333333333333343</v>
      </c>
      <c r="D24" s="6">
        <f t="shared" si="1"/>
        <v>16.333333333333343</v>
      </c>
      <c r="E24" s="8">
        <f t="shared" si="2"/>
        <v>0.11342592592592599</v>
      </c>
      <c r="F24" s="8">
        <f t="shared" si="3"/>
        <v>0.10187110187110192</v>
      </c>
      <c r="G24" s="6">
        <f t="shared" si="4"/>
        <v>266.77777777777811</v>
      </c>
    </row>
    <row r="25" spans="1:7">
      <c r="A25" s="5">
        <v>134</v>
      </c>
      <c r="B25" s="6">
        <f t="shared" si="5"/>
        <v>155.33333333333334</v>
      </c>
      <c r="C25" s="6">
        <f t="shared" si="0"/>
        <v>-21.333333333333343</v>
      </c>
      <c r="D25" s="6">
        <f t="shared" si="1"/>
        <v>21.333333333333343</v>
      </c>
      <c r="E25" s="8">
        <f t="shared" si="2"/>
        <v>0.15920398009950257</v>
      </c>
      <c r="F25" s="8">
        <f t="shared" si="3"/>
        <v>0.13733905579399147</v>
      </c>
      <c r="G25" s="6">
        <f t="shared" si="4"/>
        <v>455.11111111111154</v>
      </c>
    </row>
    <row r="26" spans="1:7">
      <c r="B26" s="3"/>
      <c r="C26" s="3"/>
      <c r="D26" s="3"/>
      <c r="E26" s="2"/>
      <c r="F26" s="2"/>
      <c r="G26" s="3"/>
    </row>
    <row r="27" spans="1:7">
      <c r="B27" s="3"/>
      <c r="C27" s="3"/>
      <c r="D27" s="3"/>
      <c r="E27" s="2"/>
      <c r="F27" s="2"/>
      <c r="G27" s="3"/>
    </row>
    <row r="28" spans="1:7">
      <c r="B28" s="3"/>
      <c r="C28" s="3"/>
      <c r="D28" s="3"/>
      <c r="E28" s="2"/>
      <c r="F28" s="2"/>
      <c r="G28" s="3"/>
    </row>
    <row r="29" spans="1:7">
      <c r="B29" s="3"/>
      <c r="C29" s="3"/>
      <c r="D29" s="3"/>
      <c r="E29" s="2"/>
      <c r="F29" s="2"/>
      <c r="G29" s="3"/>
    </row>
    <row r="30" spans="1:7">
      <c r="B30" s="3"/>
      <c r="C30" s="3"/>
      <c r="D30" s="3"/>
      <c r="E30" s="2"/>
      <c r="F30" s="2"/>
      <c r="G30" s="3"/>
    </row>
    <row r="31" spans="1:7">
      <c r="B31" s="3"/>
      <c r="C31" s="3"/>
      <c r="D31" s="3"/>
      <c r="E31" s="2"/>
      <c r="F31" s="2"/>
      <c r="G31" s="3"/>
    </row>
    <row r="32" spans="1:7">
      <c r="B32" s="3"/>
      <c r="C32" s="3"/>
      <c r="D32" s="3"/>
      <c r="E32" s="2"/>
      <c r="F32" s="2"/>
      <c r="G32" s="3"/>
    </row>
    <row r="33" spans="2:7">
      <c r="B33" s="3"/>
      <c r="C33" s="3"/>
      <c r="D33" s="3"/>
      <c r="E33" s="2"/>
      <c r="F33" s="2"/>
      <c r="G33" s="3"/>
    </row>
    <row r="34" spans="2:7">
      <c r="B34" s="3"/>
      <c r="C34" s="3"/>
      <c r="D34" s="3"/>
      <c r="E34" s="2"/>
      <c r="F34" s="2"/>
      <c r="G34" s="3"/>
    </row>
    <row r="35" spans="2:7">
      <c r="B35" s="3"/>
      <c r="C35" s="3"/>
      <c r="D35" s="3"/>
      <c r="E35" s="2"/>
      <c r="F35" s="2"/>
      <c r="G35" s="3"/>
    </row>
    <row r="36" spans="2:7">
      <c r="B36" s="3"/>
      <c r="C36" s="3"/>
      <c r="D36" s="3"/>
      <c r="E36" s="2"/>
      <c r="F36" s="2"/>
      <c r="G36" s="3"/>
    </row>
    <row r="37" spans="2:7">
      <c r="B37" s="3"/>
      <c r="C37" s="3"/>
      <c r="D37" s="3"/>
      <c r="E37" s="2"/>
      <c r="F37" s="2"/>
      <c r="G37" s="3"/>
    </row>
    <row r="38" spans="2:7">
      <c r="B38" s="3"/>
      <c r="C38" s="3"/>
      <c r="D38" s="3"/>
      <c r="E38" s="2"/>
      <c r="F38" s="2"/>
      <c r="G38" s="3"/>
    </row>
    <row r="39" spans="2:7">
      <c r="B39" s="3"/>
      <c r="C39" s="3"/>
      <c r="D39" s="3"/>
      <c r="E39" s="2"/>
      <c r="F39" s="2"/>
      <c r="G39" s="3"/>
    </row>
    <row r="40" spans="2:7">
      <c r="B40" s="3"/>
      <c r="C40" s="3"/>
      <c r="D40" s="3"/>
      <c r="E40" s="2"/>
      <c r="F40" s="2"/>
      <c r="G40" s="3"/>
    </row>
    <row r="41" spans="2:7">
      <c r="B41" s="3"/>
      <c r="C41" s="3"/>
      <c r="D41" s="3"/>
      <c r="E41" s="2"/>
      <c r="F41" s="2"/>
      <c r="G41" s="3"/>
    </row>
    <row r="42" spans="2:7">
      <c r="B42" s="3"/>
      <c r="C42" s="3"/>
      <c r="D42" s="3"/>
      <c r="E42" s="2"/>
      <c r="F42" s="2"/>
      <c r="G42" s="3"/>
    </row>
    <row r="43" spans="2:7">
      <c r="B43" s="3"/>
      <c r="C43" s="3"/>
      <c r="D43" s="3"/>
      <c r="E43" s="2"/>
      <c r="F43" s="2"/>
      <c r="G43" s="3"/>
    </row>
    <row r="44" spans="2:7">
      <c r="B44" s="3"/>
      <c r="C44" s="3"/>
      <c r="D44" s="3"/>
      <c r="E44" s="2"/>
      <c r="F44" s="2"/>
      <c r="G44" s="3"/>
    </row>
    <row r="45" spans="2:7">
      <c r="B45" s="3"/>
      <c r="C45" s="3"/>
      <c r="D45" s="3"/>
      <c r="E45" s="2"/>
      <c r="F45" s="2"/>
      <c r="G45" s="3"/>
    </row>
    <row r="46" spans="2:7">
      <c r="B46" s="3"/>
      <c r="C46" s="3"/>
      <c r="D46" s="3"/>
      <c r="E46" s="2"/>
      <c r="F46" s="2"/>
      <c r="G46" s="3"/>
    </row>
    <row r="47" spans="2:7">
      <c r="B47" s="3"/>
      <c r="C47" s="3"/>
      <c r="D47" s="3"/>
      <c r="E47" s="2"/>
      <c r="F47" s="2"/>
      <c r="G47" s="3"/>
    </row>
    <row r="48" spans="2:7">
      <c r="B48" s="3"/>
      <c r="C48" s="3"/>
      <c r="D48" s="3"/>
      <c r="E48" s="2"/>
      <c r="F48" s="2"/>
      <c r="G48" s="3"/>
    </row>
    <row r="49" spans="2:7">
      <c r="B49" s="3"/>
      <c r="C49" s="3"/>
      <c r="D49" s="3"/>
      <c r="E49" s="2"/>
      <c r="F49" s="2"/>
      <c r="G49" s="3"/>
    </row>
    <row r="50" spans="2:7">
      <c r="B50" s="3"/>
      <c r="C50" s="3"/>
      <c r="D50" s="3"/>
      <c r="E50" s="2"/>
      <c r="F50" s="2"/>
      <c r="G50" s="3"/>
    </row>
    <row r="51" spans="2:7">
      <c r="B51" s="3"/>
      <c r="C51" s="3"/>
      <c r="D51" s="3"/>
      <c r="E51" s="2"/>
      <c r="F51" s="2"/>
      <c r="G51" s="3"/>
    </row>
    <row r="52" spans="2:7">
      <c r="B52" s="3"/>
      <c r="C52" s="3"/>
      <c r="D52" s="3"/>
      <c r="E52" s="2"/>
      <c r="F52" s="2"/>
      <c r="G52" s="3"/>
    </row>
    <row r="53" spans="2:7">
      <c r="B53" s="3"/>
      <c r="C53" s="3"/>
      <c r="D53" s="3"/>
      <c r="E53" s="2"/>
      <c r="F53" s="2"/>
      <c r="G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48FA-DBC4-4773-9C77-5F15622BC6E4}">
  <dimension ref="A1:J53"/>
  <sheetViews>
    <sheetView workbookViewId="0">
      <selection activeCell="I18" sqref="I18"/>
    </sheetView>
  </sheetViews>
  <sheetFormatPr baseColWidth="10" defaultRowHeight="14.25"/>
  <cols>
    <col min="1" max="1" width="11" style="1"/>
    <col min="7" max="7" width="15.875" customWidth="1"/>
    <col min="9" max="9" width="19.125" customWidth="1"/>
  </cols>
  <sheetData>
    <row r="1" spans="1:10" ht="15">
      <c r="A1" s="10" t="s">
        <v>0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I1" s="10" t="s">
        <v>15</v>
      </c>
      <c r="J1" t="s">
        <v>4</v>
      </c>
    </row>
    <row r="2" spans="1:10">
      <c r="A2" s="5">
        <v>123</v>
      </c>
      <c r="B2" s="5"/>
      <c r="C2" s="5"/>
      <c r="D2" s="5"/>
      <c r="E2" s="5"/>
      <c r="F2" s="5"/>
      <c r="G2" s="5"/>
      <c r="H2" s="11" t="s">
        <v>1</v>
      </c>
      <c r="I2" s="9">
        <f>AVERAGE(E$5:E$25)</f>
        <v>0.16885772490627332</v>
      </c>
    </row>
    <row r="3" spans="1:10">
      <c r="A3" s="5">
        <v>126</v>
      </c>
      <c r="B3" s="5"/>
      <c r="C3" s="5"/>
      <c r="D3" s="5"/>
      <c r="E3" s="5"/>
      <c r="F3" s="5"/>
      <c r="G3" s="5"/>
      <c r="H3" s="11" t="s">
        <v>2</v>
      </c>
      <c r="I3" s="9">
        <f>AVERAGE(F$5:F$25)</f>
        <v>0.16425660268008274</v>
      </c>
    </row>
    <row r="4" spans="1:10">
      <c r="A4" s="5">
        <v>106</v>
      </c>
      <c r="B4" s="5"/>
      <c r="C4" s="5"/>
      <c r="D4" s="5"/>
      <c r="E4" s="5"/>
      <c r="F4" s="5"/>
      <c r="G4" s="5"/>
      <c r="H4" s="11" t="s">
        <v>3</v>
      </c>
      <c r="I4" s="6">
        <f>AVERAGE(G$5:G$25)</f>
        <v>470.03174603174602</v>
      </c>
    </row>
    <row r="5" spans="1:10">
      <c r="A5" s="5">
        <v>125</v>
      </c>
      <c r="B5" s="6">
        <f>AVERAGE(A2:A4)</f>
        <v>118.33333333333333</v>
      </c>
      <c r="C5" s="6">
        <f>A5-B5</f>
        <v>6.6666666666666714</v>
      </c>
      <c r="D5" s="6">
        <f>ABS(C5)</f>
        <v>6.6666666666666714</v>
      </c>
      <c r="E5" s="7">
        <f>D5/A5</f>
        <v>5.3333333333333371E-2</v>
      </c>
      <c r="F5" s="8">
        <f>D5/B5</f>
        <v>5.6338028169014127E-2</v>
      </c>
      <c r="G5" s="6">
        <f>D5*D5</f>
        <v>44.444444444444507</v>
      </c>
      <c r="H5" s="11" t="s">
        <v>5</v>
      </c>
      <c r="I5" s="5">
        <f>SQRT(I4)</f>
        <v>21.680215543941117</v>
      </c>
    </row>
    <row r="6" spans="1:10">
      <c r="A6" s="5">
        <v>81</v>
      </c>
      <c r="B6" s="6">
        <f>AVERAGE(A3:A5)</f>
        <v>119</v>
      </c>
      <c r="C6" s="6">
        <f t="shared" ref="C6:C25" si="0">A6-B6</f>
        <v>-38</v>
      </c>
      <c r="D6" s="6">
        <f t="shared" ref="D6:D25" si="1">ABS(C6)</f>
        <v>38</v>
      </c>
      <c r="E6" s="8">
        <f t="shared" ref="E6:E25" si="2">D6/A6</f>
        <v>0.46913580246913578</v>
      </c>
      <c r="F6" s="8">
        <f t="shared" ref="F6:F25" si="3">D6/B6</f>
        <v>0.31932773109243695</v>
      </c>
      <c r="G6" s="6">
        <f t="shared" ref="G6:G25" si="4">D6*D6</f>
        <v>1444</v>
      </c>
    </row>
    <row r="7" spans="1:10">
      <c r="A7" s="5">
        <v>115</v>
      </c>
      <c r="B7" s="6">
        <f t="shared" ref="B7:B25" si="5">AVERAGE(A4:A6)</f>
        <v>104</v>
      </c>
      <c r="C7" s="6">
        <f t="shared" si="0"/>
        <v>11</v>
      </c>
      <c r="D7" s="6">
        <f t="shared" si="1"/>
        <v>11</v>
      </c>
      <c r="E7" s="8">
        <f t="shared" si="2"/>
        <v>9.5652173913043481E-2</v>
      </c>
      <c r="F7" s="8">
        <f t="shared" si="3"/>
        <v>0.10576923076923077</v>
      </c>
      <c r="G7" s="6">
        <f t="shared" si="4"/>
        <v>121</v>
      </c>
    </row>
    <row r="8" spans="1:10">
      <c r="A8" s="5">
        <v>93</v>
      </c>
      <c r="B8" s="6">
        <f t="shared" si="5"/>
        <v>107</v>
      </c>
      <c r="C8" s="6">
        <f t="shared" si="0"/>
        <v>-14</v>
      </c>
      <c r="D8" s="6">
        <f t="shared" si="1"/>
        <v>14</v>
      </c>
      <c r="E8" s="8">
        <f t="shared" si="2"/>
        <v>0.15053763440860216</v>
      </c>
      <c r="F8" s="8">
        <f t="shared" si="3"/>
        <v>0.13084112149532709</v>
      </c>
      <c r="G8" s="6">
        <f t="shared" si="4"/>
        <v>196</v>
      </c>
    </row>
    <row r="9" spans="1:10">
      <c r="A9" s="5">
        <v>137</v>
      </c>
      <c r="B9" s="6">
        <f t="shared" si="5"/>
        <v>96.333333333333329</v>
      </c>
      <c r="C9" s="6">
        <f t="shared" si="0"/>
        <v>40.666666666666671</v>
      </c>
      <c r="D9" s="6">
        <f t="shared" si="1"/>
        <v>40.666666666666671</v>
      </c>
      <c r="E9" s="8">
        <f t="shared" si="2"/>
        <v>0.29683698296836986</v>
      </c>
      <c r="F9" s="8">
        <f t="shared" si="3"/>
        <v>0.42214532871972327</v>
      </c>
      <c r="G9" s="6">
        <f t="shared" si="4"/>
        <v>1653.7777777777781</v>
      </c>
    </row>
    <row r="10" spans="1:10">
      <c r="A10" s="5">
        <v>120</v>
      </c>
      <c r="B10" s="6">
        <f t="shared" si="5"/>
        <v>115</v>
      </c>
      <c r="C10" s="6">
        <f t="shared" si="0"/>
        <v>5</v>
      </c>
      <c r="D10" s="6">
        <f t="shared" si="1"/>
        <v>5</v>
      </c>
      <c r="E10" s="8">
        <f t="shared" si="2"/>
        <v>4.1666666666666664E-2</v>
      </c>
      <c r="F10" s="8">
        <f t="shared" si="3"/>
        <v>4.3478260869565216E-2</v>
      </c>
      <c r="G10" s="6">
        <f t="shared" si="4"/>
        <v>25</v>
      </c>
    </row>
    <row r="11" spans="1:10">
      <c r="A11" s="5">
        <v>111</v>
      </c>
      <c r="B11" s="6">
        <f t="shared" si="5"/>
        <v>116.66666666666667</v>
      </c>
      <c r="C11" s="6">
        <f t="shared" si="0"/>
        <v>-5.6666666666666714</v>
      </c>
      <c r="D11" s="6">
        <f t="shared" si="1"/>
        <v>5.6666666666666714</v>
      </c>
      <c r="E11" s="8">
        <f t="shared" si="2"/>
        <v>5.1051051051051094E-2</v>
      </c>
      <c r="F11" s="8">
        <f t="shared" si="3"/>
        <v>4.8571428571428613E-2</v>
      </c>
      <c r="G11" s="6">
        <f t="shared" si="4"/>
        <v>32.111111111111164</v>
      </c>
    </row>
    <row r="12" spans="1:10">
      <c r="A12" s="5">
        <v>98</v>
      </c>
      <c r="B12" s="6">
        <f t="shared" si="5"/>
        <v>122.66666666666667</v>
      </c>
      <c r="C12" s="6">
        <f t="shared" si="0"/>
        <v>-24.666666666666671</v>
      </c>
      <c r="D12" s="6">
        <f t="shared" si="1"/>
        <v>24.666666666666671</v>
      </c>
      <c r="E12" s="8">
        <f t="shared" si="2"/>
        <v>0.2517006802721089</v>
      </c>
      <c r="F12" s="8">
        <f t="shared" si="3"/>
        <v>0.20108695652173916</v>
      </c>
      <c r="G12" s="6">
        <f t="shared" si="4"/>
        <v>608.44444444444468</v>
      </c>
    </row>
    <row r="13" spans="1:10">
      <c r="A13" s="5">
        <v>98</v>
      </c>
      <c r="B13" s="6">
        <f t="shared" si="5"/>
        <v>109.66666666666667</v>
      </c>
      <c r="C13" s="6">
        <f t="shared" si="0"/>
        <v>-11.666666666666671</v>
      </c>
      <c r="D13" s="6">
        <f t="shared" si="1"/>
        <v>11.666666666666671</v>
      </c>
      <c r="E13" s="8">
        <f t="shared" si="2"/>
        <v>0.1190476190476191</v>
      </c>
      <c r="F13" s="8">
        <f t="shared" si="3"/>
        <v>0.1063829787234043</v>
      </c>
      <c r="G13" s="6">
        <f t="shared" si="4"/>
        <v>136.11111111111123</v>
      </c>
    </row>
    <row r="14" spans="1:10">
      <c r="A14" s="5">
        <v>85</v>
      </c>
      <c r="B14" s="6">
        <f t="shared" si="5"/>
        <v>102.33333333333333</v>
      </c>
      <c r="C14" s="6">
        <f t="shared" si="0"/>
        <v>-17.333333333333329</v>
      </c>
      <c r="D14" s="6">
        <f t="shared" si="1"/>
        <v>17.333333333333329</v>
      </c>
      <c r="E14" s="8">
        <f t="shared" si="2"/>
        <v>0.20392156862745092</v>
      </c>
      <c r="F14" s="8">
        <f t="shared" si="3"/>
        <v>0.16938110749185664</v>
      </c>
      <c r="G14" s="6">
        <f t="shared" si="4"/>
        <v>300.44444444444429</v>
      </c>
    </row>
    <row r="15" spans="1:10">
      <c r="A15" s="5">
        <v>89</v>
      </c>
      <c r="B15" s="6">
        <f t="shared" si="5"/>
        <v>93.666666666666671</v>
      </c>
      <c r="C15" s="6">
        <f t="shared" si="0"/>
        <v>-4.6666666666666714</v>
      </c>
      <c r="D15" s="6">
        <f t="shared" si="1"/>
        <v>4.6666666666666714</v>
      </c>
      <c r="E15" s="8">
        <f t="shared" si="2"/>
        <v>5.2434456928839003E-2</v>
      </c>
      <c r="F15" s="8">
        <f t="shared" si="3"/>
        <v>4.982206405693955E-2</v>
      </c>
      <c r="G15" s="6">
        <f t="shared" si="4"/>
        <v>21.777777777777821</v>
      </c>
    </row>
    <row r="16" spans="1:10">
      <c r="A16" s="5">
        <v>120</v>
      </c>
      <c r="B16" s="6">
        <f t="shared" si="5"/>
        <v>90.666666666666671</v>
      </c>
      <c r="C16" s="6">
        <f t="shared" si="0"/>
        <v>29.333333333333329</v>
      </c>
      <c r="D16" s="6">
        <f t="shared" si="1"/>
        <v>29.333333333333329</v>
      </c>
      <c r="E16" s="8">
        <f t="shared" si="2"/>
        <v>0.24444444444444441</v>
      </c>
      <c r="F16" s="8">
        <f t="shared" si="3"/>
        <v>0.32352941176470579</v>
      </c>
      <c r="G16" s="6">
        <f t="shared" si="4"/>
        <v>860.44444444444412</v>
      </c>
    </row>
    <row r="17" spans="1:7">
      <c r="A17" s="5">
        <v>111</v>
      </c>
      <c r="B17" s="6">
        <f t="shared" si="5"/>
        <v>98</v>
      </c>
      <c r="C17" s="6">
        <f t="shared" si="0"/>
        <v>13</v>
      </c>
      <c r="D17" s="6">
        <f t="shared" si="1"/>
        <v>13</v>
      </c>
      <c r="E17" s="8">
        <f t="shared" si="2"/>
        <v>0.11711711711711711</v>
      </c>
      <c r="F17" s="8">
        <f t="shared" si="3"/>
        <v>0.1326530612244898</v>
      </c>
      <c r="G17" s="6">
        <f t="shared" si="4"/>
        <v>169</v>
      </c>
    </row>
    <row r="18" spans="1:7">
      <c r="A18" s="5">
        <v>120</v>
      </c>
      <c r="B18" s="6">
        <f t="shared" si="5"/>
        <v>106.66666666666667</v>
      </c>
      <c r="C18" s="6">
        <f t="shared" si="0"/>
        <v>13.333333333333329</v>
      </c>
      <c r="D18" s="6">
        <f t="shared" si="1"/>
        <v>13.333333333333329</v>
      </c>
      <c r="E18" s="8">
        <f t="shared" si="2"/>
        <v>0.11111111111111108</v>
      </c>
      <c r="F18" s="8">
        <f t="shared" si="3"/>
        <v>0.12499999999999994</v>
      </c>
      <c r="G18" s="6">
        <f t="shared" si="4"/>
        <v>177.77777777777766</v>
      </c>
    </row>
    <row r="19" spans="1:7">
      <c r="A19" s="5">
        <v>95</v>
      </c>
      <c r="B19" s="6">
        <f t="shared" si="5"/>
        <v>117</v>
      </c>
      <c r="C19" s="6">
        <f t="shared" si="0"/>
        <v>-22</v>
      </c>
      <c r="D19" s="6">
        <f t="shared" si="1"/>
        <v>22</v>
      </c>
      <c r="E19" s="8">
        <f t="shared" si="2"/>
        <v>0.23157894736842105</v>
      </c>
      <c r="F19" s="8">
        <f t="shared" si="3"/>
        <v>0.18803418803418803</v>
      </c>
      <c r="G19" s="6">
        <f t="shared" si="4"/>
        <v>484</v>
      </c>
    </row>
    <row r="20" spans="1:7">
      <c r="A20" s="5">
        <v>108</v>
      </c>
      <c r="B20" s="6">
        <f t="shared" si="5"/>
        <v>108.66666666666667</v>
      </c>
      <c r="C20" s="6">
        <f t="shared" si="0"/>
        <v>-0.6666666666666714</v>
      </c>
      <c r="D20" s="6">
        <f t="shared" si="1"/>
        <v>0.6666666666666714</v>
      </c>
      <c r="E20" s="8">
        <f t="shared" si="2"/>
        <v>6.1728395061728834E-3</v>
      </c>
      <c r="F20" s="8">
        <f t="shared" si="3"/>
        <v>6.1349693251534177E-3</v>
      </c>
      <c r="G20" s="6">
        <f t="shared" si="4"/>
        <v>0.44444444444445075</v>
      </c>
    </row>
    <row r="21" spans="1:7">
      <c r="A21" s="5">
        <v>143</v>
      </c>
      <c r="B21" s="6">
        <f t="shared" si="5"/>
        <v>107.66666666666667</v>
      </c>
      <c r="C21" s="6">
        <f t="shared" si="0"/>
        <v>35.333333333333329</v>
      </c>
      <c r="D21" s="6">
        <f t="shared" si="1"/>
        <v>35.333333333333329</v>
      </c>
      <c r="E21" s="8">
        <f t="shared" si="2"/>
        <v>0.24708624708624705</v>
      </c>
      <c r="F21" s="8">
        <f t="shared" si="3"/>
        <v>0.32817337461300305</v>
      </c>
      <c r="G21" s="6">
        <f t="shared" si="4"/>
        <v>1248.4444444444441</v>
      </c>
    </row>
    <row r="22" spans="1:7">
      <c r="A22" s="5">
        <v>123</v>
      </c>
      <c r="B22" s="6">
        <f t="shared" si="5"/>
        <v>115.33333333333333</v>
      </c>
      <c r="C22" s="6">
        <f t="shared" si="0"/>
        <v>7.6666666666666714</v>
      </c>
      <c r="D22" s="6">
        <f t="shared" si="1"/>
        <v>7.6666666666666714</v>
      </c>
      <c r="E22" s="8">
        <f t="shared" si="2"/>
        <v>6.2330623306233103E-2</v>
      </c>
      <c r="F22" s="8">
        <f t="shared" si="3"/>
        <v>6.6473988439306408E-2</v>
      </c>
      <c r="G22" s="6">
        <f t="shared" si="4"/>
        <v>58.77777777777785</v>
      </c>
    </row>
    <row r="23" spans="1:7">
      <c r="A23" s="5">
        <v>108</v>
      </c>
      <c r="B23" s="6">
        <f t="shared" si="5"/>
        <v>124.66666666666667</v>
      </c>
      <c r="C23" s="6">
        <f t="shared" si="0"/>
        <v>-16.666666666666671</v>
      </c>
      <c r="D23" s="6">
        <f t="shared" si="1"/>
        <v>16.666666666666671</v>
      </c>
      <c r="E23" s="8">
        <f t="shared" si="2"/>
        <v>0.15432098765432103</v>
      </c>
      <c r="F23" s="8">
        <f t="shared" si="3"/>
        <v>0.13368983957219255</v>
      </c>
      <c r="G23" s="6">
        <f t="shared" si="4"/>
        <v>277.77777777777794</v>
      </c>
    </row>
    <row r="24" spans="1:7">
      <c r="A24" s="5">
        <v>149</v>
      </c>
      <c r="B24" s="6">
        <f t="shared" si="5"/>
        <v>124.66666666666667</v>
      </c>
      <c r="C24" s="6">
        <f t="shared" si="0"/>
        <v>24.333333333333329</v>
      </c>
      <c r="D24" s="6">
        <f t="shared" si="1"/>
        <v>24.333333333333329</v>
      </c>
      <c r="E24" s="8">
        <f t="shared" si="2"/>
        <v>0.16331096196868006</v>
      </c>
      <c r="F24" s="8">
        <f t="shared" si="3"/>
        <v>0.19518716577540102</v>
      </c>
      <c r="G24" s="6">
        <f t="shared" si="4"/>
        <v>592.11111111111086</v>
      </c>
    </row>
    <row r="25" spans="1:7">
      <c r="A25" s="5">
        <v>89</v>
      </c>
      <c r="B25" s="6">
        <f t="shared" si="5"/>
        <v>126.66666666666667</v>
      </c>
      <c r="C25" s="6">
        <f t="shared" si="0"/>
        <v>-37.666666666666671</v>
      </c>
      <c r="D25" s="6">
        <f t="shared" si="1"/>
        <v>37.666666666666671</v>
      </c>
      <c r="E25" s="8">
        <f t="shared" si="2"/>
        <v>0.42322097378277157</v>
      </c>
      <c r="F25" s="8">
        <f t="shared" si="3"/>
        <v>0.29736842105263162</v>
      </c>
      <c r="G25" s="6">
        <f t="shared" si="4"/>
        <v>1418.7777777777781</v>
      </c>
    </row>
    <row r="26" spans="1:7">
      <c r="B26" s="3"/>
      <c r="C26" s="3"/>
      <c r="D26" s="3"/>
      <c r="E26" s="2"/>
      <c r="F26" s="2"/>
      <c r="G26" s="3"/>
    </row>
    <row r="27" spans="1:7">
      <c r="B27" s="3"/>
      <c r="C27" s="3"/>
      <c r="D27" s="3"/>
      <c r="E27" s="2"/>
      <c r="F27" s="2"/>
      <c r="G27" s="3"/>
    </row>
    <row r="28" spans="1:7">
      <c r="B28" s="3"/>
      <c r="C28" s="3"/>
      <c r="D28" s="3"/>
      <c r="E28" s="2"/>
      <c r="F28" s="2"/>
      <c r="G28" s="3"/>
    </row>
    <row r="29" spans="1:7">
      <c r="B29" s="3"/>
      <c r="C29" s="3"/>
      <c r="D29" s="3"/>
      <c r="E29" s="2"/>
      <c r="F29" s="2"/>
      <c r="G29" s="3"/>
    </row>
    <row r="30" spans="1:7">
      <c r="B30" s="3"/>
      <c r="C30" s="3"/>
      <c r="D30" s="3"/>
      <c r="E30" s="2"/>
      <c r="F30" s="2"/>
      <c r="G30" s="3"/>
    </row>
    <row r="31" spans="1:7">
      <c r="B31" s="3"/>
      <c r="C31" s="3"/>
      <c r="D31" s="3"/>
      <c r="E31" s="2"/>
      <c r="F31" s="2"/>
      <c r="G31" s="3"/>
    </row>
    <row r="32" spans="1:7">
      <c r="B32" s="3"/>
      <c r="C32" s="3"/>
      <c r="D32" s="3"/>
      <c r="E32" s="2"/>
      <c r="F32" s="2"/>
      <c r="G32" s="3"/>
    </row>
    <row r="33" spans="2:7">
      <c r="B33" s="3"/>
      <c r="C33" s="3"/>
      <c r="D33" s="3"/>
      <c r="E33" s="2"/>
      <c r="F33" s="2"/>
      <c r="G33" s="3"/>
    </row>
    <row r="34" spans="2:7">
      <c r="B34" s="3"/>
      <c r="C34" s="3"/>
      <c r="D34" s="3"/>
      <c r="E34" s="2"/>
      <c r="F34" s="2"/>
      <c r="G34" s="3"/>
    </row>
    <row r="35" spans="2:7">
      <c r="B35" s="3"/>
      <c r="C35" s="3"/>
      <c r="D35" s="3"/>
      <c r="E35" s="2"/>
      <c r="F35" s="2"/>
      <c r="G35" s="3"/>
    </row>
    <row r="36" spans="2:7">
      <c r="B36" s="3"/>
      <c r="C36" s="3"/>
      <c r="D36" s="3"/>
      <c r="E36" s="2"/>
      <c r="F36" s="2"/>
      <c r="G36" s="3"/>
    </row>
    <row r="37" spans="2:7">
      <c r="B37" s="3"/>
      <c r="C37" s="3"/>
      <c r="D37" s="3"/>
      <c r="E37" s="2"/>
      <c r="F37" s="2"/>
      <c r="G37" s="3"/>
    </row>
    <row r="38" spans="2:7">
      <c r="B38" s="3"/>
      <c r="C38" s="3"/>
      <c r="D38" s="3"/>
      <c r="E38" s="2"/>
      <c r="F38" s="2"/>
      <c r="G38" s="3"/>
    </row>
    <row r="39" spans="2:7">
      <c r="B39" s="3"/>
      <c r="C39" s="3"/>
      <c r="D39" s="3"/>
      <c r="E39" s="2"/>
      <c r="F39" s="2"/>
      <c r="G39" s="3"/>
    </row>
    <row r="40" spans="2:7">
      <c r="B40" s="3"/>
      <c r="C40" s="3"/>
      <c r="D40" s="3"/>
      <c r="E40" s="2"/>
      <c r="F40" s="2"/>
      <c r="G40" s="3"/>
    </row>
    <row r="41" spans="2:7">
      <c r="B41" s="3"/>
      <c r="C41" s="3"/>
      <c r="D41" s="3"/>
      <c r="E41" s="2"/>
      <c r="F41" s="2"/>
      <c r="G41" s="3"/>
    </row>
    <row r="42" spans="2:7">
      <c r="B42" s="3"/>
      <c r="C42" s="3"/>
      <c r="D42" s="3"/>
      <c r="E42" s="2"/>
      <c r="F42" s="2"/>
      <c r="G42" s="3"/>
    </row>
    <row r="43" spans="2:7">
      <c r="B43" s="3"/>
      <c r="C43" s="3"/>
      <c r="D43" s="3"/>
      <c r="E43" s="2"/>
      <c r="F43" s="2"/>
      <c r="G43" s="3"/>
    </row>
    <row r="44" spans="2:7">
      <c r="B44" s="3"/>
      <c r="C44" s="3"/>
      <c r="D44" s="3"/>
      <c r="E44" s="2"/>
      <c r="F44" s="2"/>
      <c r="G44" s="3"/>
    </row>
    <row r="45" spans="2:7">
      <c r="B45" s="3"/>
      <c r="C45" s="3"/>
      <c r="D45" s="3"/>
      <c r="E45" s="2"/>
      <c r="F45" s="2"/>
      <c r="G45" s="3"/>
    </row>
    <row r="46" spans="2:7">
      <c r="B46" s="3"/>
      <c r="C46" s="3"/>
      <c r="D46" s="3"/>
      <c r="E46" s="2"/>
      <c r="F46" s="2"/>
      <c r="G46" s="3"/>
    </row>
    <row r="47" spans="2:7">
      <c r="B47" s="3"/>
      <c r="C47" s="3"/>
      <c r="D47" s="3"/>
      <c r="E47" s="2"/>
      <c r="F47" s="2"/>
      <c r="G47" s="3"/>
    </row>
    <row r="48" spans="2:7">
      <c r="B48" s="3"/>
      <c r="C48" s="3"/>
      <c r="D48" s="3"/>
      <c r="E48" s="2"/>
      <c r="F48" s="2"/>
      <c r="G48" s="3"/>
    </row>
    <row r="49" spans="2:7">
      <c r="B49" s="3"/>
      <c r="C49" s="3"/>
      <c r="D49" s="3"/>
      <c r="E49" s="2"/>
      <c r="F49" s="2"/>
      <c r="G49" s="3"/>
    </row>
    <row r="50" spans="2:7">
      <c r="B50" s="3"/>
      <c r="C50" s="3"/>
      <c r="D50" s="3"/>
      <c r="E50" s="2"/>
      <c r="F50" s="2"/>
      <c r="G50" s="3"/>
    </row>
    <row r="51" spans="2:7">
      <c r="B51" s="3"/>
      <c r="C51" s="3"/>
      <c r="D51" s="3"/>
      <c r="E51" s="2"/>
      <c r="F51" s="2"/>
      <c r="G51" s="3"/>
    </row>
    <row r="52" spans="2:7">
      <c r="B52" s="3"/>
      <c r="C52" s="3"/>
      <c r="D52" s="3"/>
      <c r="E52" s="2"/>
      <c r="F52" s="2"/>
      <c r="G52" s="3"/>
    </row>
    <row r="53" spans="2:7">
      <c r="B53" s="3"/>
      <c r="C53" s="3"/>
      <c r="D53" s="3"/>
      <c r="E53" s="2"/>
      <c r="F53" s="2"/>
      <c r="G5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3D26-3739-4722-B521-28B2D357044F}">
  <dimension ref="A1:J53"/>
  <sheetViews>
    <sheetView topLeftCell="F1" workbookViewId="0">
      <selection activeCell="I13" sqref="I13"/>
    </sheetView>
  </sheetViews>
  <sheetFormatPr baseColWidth="10" defaultRowHeight="14.25"/>
  <cols>
    <col min="1" max="1" width="11" style="1"/>
    <col min="7" max="7" width="15.875" customWidth="1"/>
    <col min="9" max="9" width="19.125" customWidth="1"/>
  </cols>
  <sheetData>
    <row r="1" spans="1:10" ht="15">
      <c r="A1" s="10" t="s">
        <v>0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I1" s="10" t="s">
        <v>15</v>
      </c>
      <c r="J1" t="s">
        <v>4</v>
      </c>
    </row>
    <row r="2" spans="1:10">
      <c r="A2" s="5">
        <v>160</v>
      </c>
      <c r="B2" s="5"/>
      <c r="C2" s="5"/>
      <c r="D2" s="5"/>
      <c r="E2" s="5"/>
      <c r="F2" s="5"/>
      <c r="G2" s="5"/>
      <c r="H2" s="11" t="s">
        <v>1</v>
      </c>
      <c r="I2" s="9">
        <f>AVERAGE(E$5:E$25)</f>
        <v>0.17784335638048146</v>
      </c>
    </row>
    <row r="3" spans="1:10">
      <c r="A3" s="5">
        <v>144</v>
      </c>
      <c r="B3" s="5"/>
      <c r="C3" s="5"/>
      <c r="D3" s="5"/>
      <c r="E3" s="5"/>
      <c r="F3" s="5"/>
      <c r="G3" s="5"/>
      <c r="H3" s="11" t="s">
        <v>2</v>
      </c>
      <c r="I3" s="9">
        <f>AVERAGE(F$5:F$25)</f>
        <v>0.17570430689410152</v>
      </c>
    </row>
    <row r="4" spans="1:10">
      <c r="A4" s="5">
        <v>137</v>
      </c>
      <c r="B4" s="5"/>
      <c r="C4" s="5"/>
      <c r="D4" s="5"/>
      <c r="E4" s="5"/>
      <c r="F4" s="5"/>
      <c r="G4" s="5"/>
      <c r="H4" s="11" t="s">
        <v>3</v>
      </c>
      <c r="I4" s="6">
        <f>AVERAGE(G$5:G$25)</f>
        <v>759.25925925925935</v>
      </c>
    </row>
    <row r="5" spans="1:10">
      <c r="A5" s="5">
        <v>136</v>
      </c>
      <c r="B5" s="6">
        <f>AVERAGE(A2:A4)</f>
        <v>147</v>
      </c>
      <c r="C5" s="6">
        <f>A5-B5</f>
        <v>-11</v>
      </c>
      <c r="D5" s="6">
        <f>ABS(C5)</f>
        <v>11</v>
      </c>
      <c r="E5" s="7">
        <f>D5/A5</f>
        <v>8.0882352941176475E-2</v>
      </c>
      <c r="F5" s="8">
        <f>D5/B5</f>
        <v>7.4829931972789115E-2</v>
      </c>
      <c r="G5" s="6">
        <f>D5*D5</f>
        <v>121</v>
      </c>
      <c r="H5" s="11" t="s">
        <v>5</v>
      </c>
      <c r="I5" s="5">
        <f>SQRT(I4)</f>
        <v>27.554659483638321</v>
      </c>
    </row>
    <row r="6" spans="1:10">
      <c r="A6" s="5">
        <v>172</v>
      </c>
      <c r="B6" s="6">
        <f>AVERAGE(A3:A5)</f>
        <v>139</v>
      </c>
      <c r="C6" s="6">
        <f t="shared" ref="C6:C25" si="0">A6-B6</f>
        <v>33</v>
      </c>
      <c r="D6" s="6">
        <f t="shared" ref="D6:D25" si="1">ABS(C6)</f>
        <v>33</v>
      </c>
      <c r="E6" s="8">
        <f t="shared" ref="E6:E25" si="2">D6/A6</f>
        <v>0.19186046511627908</v>
      </c>
      <c r="F6" s="8">
        <f t="shared" ref="F6:F25" si="3">D6/B6</f>
        <v>0.23741007194244604</v>
      </c>
      <c r="G6" s="6">
        <f t="shared" ref="G6:G25" si="4">D6*D6</f>
        <v>1089</v>
      </c>
    </row>
    <row r="7" spans="1:10">
      <c r="A7" s="5">
        <v>107</v>
      </c>
      <c r="B7" s="6">
        <f t="shared" ref="B7:B25" si="5">AVERAGE(A4:A6)</f>
        <v>148.33333333333334</v>
      </c>
      <c r="C7" s="6">
        <f t="shared" si="0"/>
        <v>-41.333333333333343</v>
      </c>
      <c r="D7" s="6">
        <f t="shared" si="1"/>
        <v>41.333333333333343</v>
      </c>
      <c r="E7" s="8">
        <f t="shared" si="2"/>
        <v>0.38629283489096583</v>
      </c>
      <c r="F7" s="8">
        <f t="shared" si="3"/>
        <v>0.27865168539325846</v>
      </c>
      <c r="G7" s="6">
        <f t="shared" si="4"/>
        <v>1708.4444444444453</v>
      </c>
    </row>
    <row r="8" spans="1:10">
      <c r="A8" s="5">
        <v>172</v>
      </c>
      <c r="B8" s="6">
        <f t="shared" si="5"/>
        <v>138.33333333333334</v>
      </c>
      <c r="C8" s="6">
        <f t="shared" si="0"/>
        <v>33.666666666666657</v>
      </c>
      <c r="D8" s="6">
        <f t="shared" si="1"/>
        <v>33.666666666666657</v>
      </c>
      <c r="E8" s="8">
        <f t="shared" si="2"/>
        <v>0.19573643410852706</v>
      </c>
      <c r="F8" s="8">
        <f t="shared" si="3"/>
        <v>0.24337349397590352</v>
      </c>
      <c r="G8" s="6">
        <f t="shared" si="4"/>
        <v>1133.4444444444439</v>
      </c>
    </row>
    <row r="9" spans="1:10">
      <c r="A9" s="5">
        <v>163</v>
      </c>
      <c r="B9" s="6">
        <f t="shared" si="5"/>
        <v>150.33333333333334</v>
      </c>
      <c r="C9" s="6">
        <f t="shared" si="0"/>
        <v>12.666666666666657</v>
      </c>
      <c r="D9" s="6">
        <f t="shared" si="1"/>
        <v>12.666666666666657</v>
      </c>
      <c r="E9" s="8">
        <f t="shared" si="2"/>
        <v>7.7709611451942676E-2</v>
      </c>
      <c r="F9" s="8">
        <f t="shared" si="3"/>
        <v>8.4257206208425653E-2</v>
      </c>
      <c r="G9" s="6">
        <f t="shared" si="4"/>
        <v>160.4444444444442</v>
      </c>
    </row>
    <row r="10" spans="1:10">
      <c r="A10" s="5">
        <v>148</v>
      </c>
      <c r="B10" s="6">
        <f t="shared" si="5"/>
        <v>147.33333333333334</v>
      </c>
      <c r="C10" s="6">
        <f t="shared" si="0"/>
        <v>0.66666666666665719</v>
      </c>
      <c r="D10" s="6">
        <f t="shared" si="1"/>
        <v>0.66666666666665719</v>
      </c>
      <c r="E10" s="8">
        <f t="shared" si="2"/>
        <v>4.5045045045044403E-3</v>
      </c>
      <c r="F10" s="8">
        <f t="shared" si="3"/>
        <v>4.5248868778279897E-3</v>
      </c>
      <c r="G10" s="6">
        <f t="shared" si="4"/>
        <v>0.44444444444443182</v>
      </c>
    </row>
    <row r="11" spans="1:10">
      <c r="A11" s="5">
        <v>124</v>
      </c>
      <c r="B11" s="6">
        <f t="shared" si="5"/>
        <v>161</v>
      </c>
      <c r="C11" s="6">
        <f t="shared" si="0"/>
        <v>-37</v>
      </c>
      <c r="D11" s="6">
        <f t="shared" si="1"/>
        <v>37</v>
      </c>
      <c r="E11" s="8">
        <f t="shared" si="2"/>
        <v>0.29838709677419356</v>
      </c>
      <c r="F11" s="8">
        <f t="shared" si="3"/>
        <v>0.22981366459627328</v>
      </c>
      <c r="G11" s="6">
        <f t="shared" si="4"/>
        <v>1369</v>
      </c>
    </row>
    <row r="12" spans="1:10">
      <c r="A12" s="5">
        <v>144</v>
      </c>
      <c r="B12" s="6">
        <f t="shared" si="5"/>
        <v>145</v>
      </c>
      <c r="C12" s="6">
        <f t="shared" si="0"/>
        <v>-1</v>
      </c>
      <c r="D12" s="6">
        <f t="shared" si="1"/>
        <v>1</v>
      </c>
      <c r="E12" s="8">
        <f t="shared" si="2"/>
        <v>6.9444444444444441E-3</v>
      </c>
      <c r="F12" s="8">
        <f t="shared" si="3"/>
        <v>6.8965517241379309E-3</v>
      </c>
      <c r="G12" s="6">
        <f t="shared" si="4"/>
        <v>1</v>
      </c>
    </row>
    <row r="13" spans="1:10">
      <c r="A13" s="5">
        <v>174</v>
      </c>
      <c r="B13" s="6">
        <f t="shared" si="5"/>
        <v>138.66666666666666</v>
      </c>
      <c r="C13" s="6">
        <f t="shared" si="0"/>
        <v>35.333333333333343</v>
      </c>
      <c r="D13" s="6">
        <f t="shared" si="1"/>
        <v>35.333333333333343</v>
      </c>
      <c r="E13" s="8">
        <f t="shared" si="2"/>
        <v>0.20306513409961691</v>
      </c>
      <c r="F13" s="8">
        <f t="shared" si="3"/>
        <v>0.2548076923076924</v>
      </c>
      <c r="G13" s="6">
        <f t="shared" si="4"/>
        <v>1248.444444444445</v>
      </c>
    </row>
    <row r="14" spans="1:10">
      <c r="A14" s="5">
        <v>113</v>
      </c>
      <c r="B14" s="6">
        <f t="shared" si="5"/>
        <v>147.33333333333334</v>
      </c>
      <c r="C14" s="6">
        <f t="shared" si="0"/>
        <v>-34.333333333333343</v>
      </c>
      <c r="D14" s="6">
        <f t="shared" si="1"/>
        <v>34.333333333333343</v>
      </c>
      <c r="E14" s="8">
        <f t="shared" si="2"/>
        <v>0.30383480825958709</v>
      </c>
      <c r="F14" s="8">
        <f t="shared" si="3"/>
        <v>0.23303167420814486</v>
      </c>
      <c r="G14" s="6">
        <f t="shared" si="4"/>
        <v>1178.7777777777785</v>
      </c>
    </row>
    <row r="15" spans="1:10">
      <c r="A15" s="5">
        <v>110</v>
      </c>
      <c r="B15" s="6">
        <f t="shared" si="5"/>
        <v>143.66666666666666</v>
      </c>
      <c r="C15" s="6">
        <f t="shared" si="0"/>
        <v>-33.666666666666657</v>
      </c>
      <c r="D15" s="6">
        <f t="shared" si="1"/>
        <v>33.666666666666657</v>
      </c>
      <c r="E15" s="8">
        <f t="shared" si="2"/>
        <v>0.30606060606060598</v>
      </c>
      <c r="F15" s="8">
        <f t="shared" si="3"/>
        <v>0.23433874709976793</v>
      </c>
      <c r="G15" s="6">
        <f t="shared" si="4"/>
        <v>1133.4444444444439</v>
      </c>
    </row>
    <row r="16" spans="1:10">
      <c r="A16" s="5">
        <v>124</v>
      </c>
      <c r="B16" s="6">
        <f t="shared" si="5"/>
        <v>132.33333333333334</v>
      </c>
      <c r="C16" s="6">
        <f t="shared" si="0"/>
        <v>-8.3333333333333428</v>
      </c>
      <c r="D16" s="6">
        <f t="shared" si="1"/>
        <v>8.3333333333333428</v>
      </c>
      <c r="E16" s="8">
        <f t="shared" si="2"/>
        <v>6.7204301075268896E-2</v>
      </c>
      <c r="F16" s="8">
        <f t="shared" si="3"/>
        <v>6.2972292191435839E-2</v>
      </c>
      <c r="G16" s="6">
        <f t="shared" si="4"/>
        <v>69.444444444444599</v>
      </c>
    </row>
    <row r="17" spans="1:7">
      <c r="A17" s="5">
        <v>105</v>
      </c>
      <c r="B17" s="6">
        <f t="shared" si="5"/>
        <v>115.66666666666667</v>
      </c>
      <c r="C17" s="6">
        <f t="shared" si="0"/>
        <v>-10.666666666666671</v>
      </c>
      <c r="D17" s="6">
        <f t="shared" si="1"/>
        <v>10.666666666666671</v>
      </c>
      <c r="E17" s="8">
        <f t="shared" si="2"/>
        <v>0.10158730158730163</v>
      </c>
      <c r="F17" s="8">
        <f t="shared" si="3"/>
        <v>9.2219020172910698E-2</v>
      </c>
      <c r="G17" s="6">
        <f t="shared" si="4"/>
        <v>113.77777777777789</v>
      </c>
    </row>
    <row r="18" spans="1:7">
      <c r="A18" s="5">
        <v>160</v>
      </c>
      <c r="B18" s="6">
        <f t="shared" si="5"/>
        <v>113</v>
      </c>
      <c r="C18" s="6">
        <f t="shared" si="0"/>
        <v>47</v>
      </c>
      <c r="D18" s="6">
        <f t="shared" si="1"/>
        <v>47</v>
      </c>
      <c r="E18" s="8">
        <f t="shared" si="2"/>
        <v>0.29375000000000001</v>
      </c>
      <c r="F18" s="8">
        <f t="shared" si="3"/>
        <v>0.41592920353982299</v>
      </c>
      <c r="G18" s="6">
        <f t="shared" si="4"/>
        <v>2209</v>
      </c>
    </row>
    <row r="19" spans="1:7">
      <c r="A19" s="5">
        <v>126</v>
      </c>
      <c r="B19" s="6">
        <f t="shared" si="5"/>
        <v>129.66666666666666</v>
      </c>
      <c r="C19" s="6">
        <f t="shared" si="0"/>
        <v>-3.6666666666666572</v>
      </c>
      <c r="D19" s="6">
        <f t="shared" si="1"/>
        <v>3.6666666666666572</v>
      </c>
      <c r="E19" s="8">
        <f t="shared" si="2"/>
        <v>2.9100529100529026E-2</v>
      </c>
      <c r="F19" s="8">
        <f t="shared" si="3"/>
        <v>2.8277634961439518E-2</v>
      </c>
      <c r="G19" s="6">
        <f t="shared" si="4"/>
        <v>13.444444444444375</v>
      </c>
    </row>
    <row r="20" spans="1:7">
      <c r="A20" s="5">
        <v>151</v>
      </c>
      <c r="B20" s="6">
        <f t="shared" si="5"/>
        <v>130.33333333333334</v>
      </c>
      <c r="C20" s="6">
        <f t="shared" si="0"/>
        <v>20.666666666666657</v>
      </c>
      <c r="D20" s="6">
        <f t="shared" si="1"/>
        <v>20.666666666666657</v>
      </c>
      <c r="E20" s="8">
        <f t="shared" si="2"/>
        <v>0.13686534216335536</v>
      </c>
      <c r="F20" s="8">
        <f t="shared" si="3"/>
        <v>0.15856777493606131</v>
      </c>
      <c r="G20" s="6">
        <f t="shared" si="4"/>
        <v>427.11111111111074</v>
      </c>
    </row>
    <row r="21" spans="1:7">
      <c r="A21" s="5">
        <v>110</v>
      </c>
      <c r="B21" s="6">
        <f t="shared" si="5"/>
        <v>145.66666666666666</v>
      </c>
      <c r="C21" s="6">
        <f t="shared" si="0"/>
        <v>-35.666666666666657</v>
      </c>
      <c r="D21" s="6">
        <f t="shared" si="1"/>
        <v>35.666666666666657</v>
      </c>
      <c r="E21" s="8">
        <f t="shared" si="2"/>
        <v>0.32424242424242417</v>
      </c>
      <c r="F21" s="8">
        <f t="shared" si="3"/>
        <v>0.24485125858123566</v>
      </c>
      <c r="G21" s="6">
        <f t="shared" si="4"/>
        <v>1272.1111111111104</v>
      </c>
    </row>
    <row r="22" spans="1:7">
      <c r="A22" s="5">
        <v>118</v>
      </c>
      <c r="B22" s="6">
        <f t="shared" si="5"/>
        <v>129</v>
      </c>
      <c r="C22" s="6">
        <f t="shared" si="0"/>
        <v>-11</v>
      </c>
      <c r="D22" s="6">
        <f t="shared" si="1"/>
        <v>11</v>
      </c>
      <c r="E22" s="8">
        <f t="shared" si="2"/>
        <v>9.3220338983050849E-2</v>
      </c>
      <c r="F22" s="8">
        <f t="shared" si="3"/>
        <v>8.5271317829457363E-2</v>
      </c>
      <c r="G22" s="6">
        <f t="shared" si="4"/>
        <v>121</v>
      </c>
    </row>
    <row r="23" spans="1:7">
      <c r="A23" s="5">
        <v>105</v>
      </c>
      <c r="B23" s="6">
        <f t="shared" si="5"/>
        <v>126.33333333333333</v>
      </c>
      <c r="C23" s="6">
        <f t="shared" si="0"/>
        <v>-21.333333333333329</v>
      </c>
      <c r="D23" s="6">
        <f t="shared" si="1"/>
        <v>21.333333333333329</v>
      </c>
      <c r="E23" s="8">
        <f t="shared" si="2"/>
        <v>0.20317460317460312</v>
      </c>
      <c r="F23" s="8">
        <f t="shared" si="3"/>
        <v>0.16886543535620049</v>
      </c>
      <c r="G23" s="6">
        <f t="shared" si="4"/>
        <v>455.11111111111092</v>
      </c>
    </row>
    <row r="24" spans="1:7">
      <c r="A24" s="5">
        <v>137</v>
      </c>
      <c r="B24" s="6">
        <f t="shared" si="5"/>
        <v>111</v>
      </c>
      <c r="C24" s="6">
        <f t="shared" si="0"/>
        <v>26</v>
      </c>
      <c r="D24" s="6">
        <f t="shared" si="1"/>
        <v>26</v>
      </c>
      <c r="E24" s="8">
        <f t="shared" si="2"/>
        <v>0.18978102189781021</v>
      </c>
      <c r="F24" s="8">
        <f t="shared" si="3"/>
        <v>0.23423423423423423</v>
      </c>
      <c r="G24" s="6">
        <f t="shared" si="4"/>
        <v>676</v>
      </c>
    </row>
    <row r="25" spans="1:7">
      <c r="A25" s="5">
        <v>158</v>
      </c>
      <c r="B25" s="6">
        <f t="shared" si="5"/>
        <v>120</v>
      </c>
      <c r="C25" s="6">
        <f t="shared" si="0"/>
        <v>38</v>
      </c>
      <c r="D25" s="6">
        <f t="shared" si="1"/>
        <v>38</v>
      </c>
      <c r="E25" s="8">
        <f t="shared" si="2"/>
        <v>0.24050632911392406</v>
      </c>
      <c r="F25" s="8">
        <f t="shared" si="3"/>
        <v>0.31666666666666665</v>
      </c>
      <c r="G25" s="6">
        <f t="shared" si="4"/>
        <v>1444</v>
      </c>
    </row>
    <row r="26" spans="1:7">
      <c r="B26" s="3"/>
      <c r="C26" s="3"/>
      <c r="D26" s="3"/>
      <c r="E26" s="2"/>
      <c r="F26" s="2"/>
      <c r="G26" s="3"/>
    </row>
    <row r="27" spans="1:7">
      <c r="B27" s="3"/>
      <c r="C27" s="3"/>
      <c r="D27" s="3"/>
      <c r="E27" s="2"/>
      <c r="F27" s="2"/>
      <c r="G27" s="3"/>
    </row>
    <row r="28" spans="1:7">
      <c r="B28" s="3"/>
      <c r="C28" s="3"/>
      <c r="D28" s="3"/>
      <c r="E28" s="2"/>
      <c r="F28" s="2"/>
      <c r="G28" s="3"/>
    </row>
    <row r="29" spans="1:7">
      <c r="B29" s="3"/>
      <c r="C29" s="3"/>
      <c r="D29" s="3"/>
      <c r="E29" s="2"/>
      <c r="F29" s="2"/>
      <c r="G29" s="3"/>
    </row>
    <row r="30" spans="1:7">
      <c r="B30" s="3"/>
      <c r="C30" s="3"/>
      <c r="D30" s="3"/>
      <c r="E30" s="2"/>
      <c r="F30" s="2"/>
      <c r="G30" s="3"/>
    </row>
    <row r="31" spans="1:7">
      <c r="B31" s="3"/>
      <c r="C31" s="3"/>
      <c r="D31" s="3"/>
      <c r="E31" s="2"/>
      <c r="F31" s="2"/>
      <c r="G31" s="3"/>
    </row>
    <row r="32" spans="1:7">
      <c r="B32" s="3"/>
      <c r="C32" s="3"/>
      <c r="D32" s="3"/>
      <c r="E32" s="2"/>
      <c r="F32" s="2"/>
      <c r="G32" s="3"/>
    </row>
    <row r="33" spans="2:7">
      <c r="B33" s="3"/>
      <c r="C33" s="3"/>
      <c r="D33" s="3"/>
      <c r="E33" s="2"/>
      <c r="F33" s="2"/>
      <c r="G33" s="3"/>
    </row>
    <row r="34" spans="2:7">
      <c r="B34" s="3"/>
      <c r="C34" s="3"/>
      <c r="D34" s="3"/>
      <c r="E34" s="2"/>
      <c r="F34" s="2"/>
      <c r="G34" s="3"/>
    </row>
    <row r="35" spans="2:7">
      <c r="B35" s="3"/>
      <c r="C35" s="3"/>
      <c r="D35" s="3"/>
      <c r="E35" s="2"/>
      <c r="F35" s="2"/>
      <c r="G35" s="3"/>
    </row>
    <row r="36" spans="2:7">
      <c r="B36" s="3"/>
      <c r="C36" s="3"/>
      <c r="D36" s="3"/>
      <c r="E36" s="2"/>
      <c r="F36" s="2"/>
      <c r="G36" s="3"/>
    </row>
    <row r="37" spans="2:7">
      <c r="B37" s="3"/>
      <c r="C37" s="3"/>
      <c r="D37" s="3"/>
      <c r="E37" s="2"/>
      <c r="F37" s="2"/>
      <c r="G37" s="3"/>
    </row>
    <row r="38" spans="2:7">
      <c r="B38" s="3"/>
      <c r="C38" s="3"/>
      <c r="D38" s="3"/>
      <c r="E38" s="2"/>
      <c r="F38" s="2"/>
      <c r="G38" s="3"/>
    </row>
    <row r="39" spans="2:7">
      <c r="B39" s="3"/>
      <c r="C39" s="3"/>
      <c r="D39" s="3"/>
      <c r="E39" s="2"/>
      <c r="F39" s="2"/>
      <c r="G39" s="3"/>
    </row>
    <row r="40" spans="2:7">
      <c r="B40" s="3"/>
      <c r="C40" s="3"/>
      <c r="D40" s="3"/>
      <c r="E40" s="2"/>
      <c r="F40" s="2"/>
      <c r="G40" s="3"/>
    </row>
    <row r="41" spans="2:7">
      <c r="B41" s="3"/>
      <c r="C41" s="3"/>
      <c r="D41" s="3"/>
      <c r="E41" s="2"/>
      <c r="F41" s="2"/>
      <c r="G41" s="3"/>
    </row>
    <row r="42" spans="2:7">
      <c r="B42" s="3"/>
      <c r="C42" s="3"/>
      <c r="D42" s="3"/>
      <c r="E42" s="2"/>
      <c r="F42" s="2"/>
      <c r="G42" s="3"/>
    </row>
    <row r="43" spans="2:7">
      <c r="B43" s="3"/>
      <c r="C43" s="3"/>
      <c r="D43" s="3"/>
      <c r="E43" s="2"/>
      <c r="F43" s="2"/>
      <c r="G43" s="3"/>
    </row>
    <row r="44" spans="2:7">
      <c r="B44" s="3"/>
      <c r="C44" s="3"/>
      <c r="D44" s="3"/>
      <c r="E44" s="2"/>
      <c r="F44" s="2"/>
      <c r="G44" s="3"/>
    </row>
    <row r="45" spans="2:7">
      <c r="B45" s="3"/>
      <c r="C45" s="3"/>
      <c r="D45" s="3"/>
      <c r="E45" s="2"/>
      <c r="F45" s="2"/>
      <c r="G45" s="3"/>
    </row>
    <row r="46" spans="2:7">
      <c r="B46" s="3"/>
      <c r="C46" s="3"/>
      <c r="D46" s="3"/>
      <c r="E46" s="2"/>
      <c r="F46" s="2"/>
      <c r="G46" s="3"/>
    </row>
    <row r="47" spans="2:7">
      <c r="B47" s="3"/>
      <c r="C47" s="3"/>
      <c r="D47" s="3"/>
      <c r="E47" s="2"/>
      <c r="F47" s="2"/>
      <c r="G47" s="3"/>
    </row>
    <row r="48" spans="2:7">
      <c r="B48" s="3"/>
      <c r="C48" s="3"/>
      <c r="D48" s="3"/>
      <c r="E48" s="2"/>
      <c r="F48" s="2"/>
      <c r="G48" s="3"/>
    </row>
    <row r="49" spans="2:7">
      <c r="B49" s="3"/>
      <c r="C49" s="3"/>
      <c r="D49" s="3"/>
      <c r="E49" s="2"/>
      <c r="F49" s="2"/>
      <c r="G49" s="3"/>
    </row>
    <row r="50" spans="2:7">
      <c r="B50" s="3"/>
      <c r="C50" s="3"/>
      <c r="D50" s="3"/>
      <c r="E50" s="2"/>
      <c r="F50" s="2"/>
      <c r="G50" s="3"/>
    </row>
    <row r="51" spans="2:7">
      <c r="B51" s="3"/>
      <c r="C51" s="3"/>
      <c r="D51" s="3"/>
      <c r="E51" s="2"/>
      <c r="F51" s="2"/>
      <c r="G51" s="3"/>
    </row>
    <row r="52" spans="2:7">
      <c r="B52" s="3"/>
      <c r="C52" s="3"/>
      <c r="D52" s="3"/>
      <c r="E52" s="2"/>
      <c r="F52" s="2"/>
      <c r="G52" s="3"/>
    </row>
    <row r="53" spans="2:7">
      <c r="B53" s="3"/>
      <c r="C53" s="3"/>
      <c r="D53" s="3"/>
      <c r="E53" s="2"/>
      <c r="F53" s="2"/>
      <c r="G5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299E-8723-4111-8F90-FD97E0666358}">
  <dimension ref="A1:J53"/>
  <sheetViews>
    <sheetView topLeftCell="F1" workbookViewId="0">
      <selection activeCell="I14" sqref="I14"/>
    </sheetView>
  </sheetViews>
  <sheetFormatPr baseColWidth="10" defaultRowHeight="14.25"/>
  <cols>
    <col min="1" max="1" width="11" style="1"/>
    <col min="7" max="7" width="15.875" customWidth="1"/>
    <col min="9" max="9" width="19.125" customWidth="1"/>
  </cols>
  <sheetData>
    <row r="1" spans="1:10" ht="15">
      <c r="A1" s="10" t="s">
        <v>0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I1" s="10" t="s">
        <v>15</v>
      </c>
      <c r="J1" t="s">
        <v>4</v>
      </c>
    </row>
    <row r="2" spans="1:10">
      <c r="A2" s="5">
        <v>220</v>
      </c>
      <c r="B2" s="5"/>
      <c r="C2" s="5"/>
      <c r="D2" s="5"/>
      <c r="E2" s="5"/>
      <c r="F2" s="5"/>
      <c r="G2" s="5"/>
      <c r="H2" s="11" t="s">
        <v>1</v>
      </c>
      <c r="I2" s="9">
        <f>AVERAGE(E$5:E$25)</f>
        <v>0.11856387030669691</v>
      </c>
    </row>
    <row r="3" spans="1:10">
      <c r="A3" s="5">
        <v>147</v>
      </c>
      <c r="B3" s="5"/>
      <c r="C3" s="5"/>
      <c r="D3" s="5"/>
      <c r="E3" s="5"/>
      <c r="F3" s="5"/>
      <c r="G3" s="5"/>
      <c r="H3" s="11" t="s">
        <v>2</v>
      </c>
      <c r="I3" s="9">
        <f>AVERAGE(F$5:F$25)</f>
        <v>0.11750684955650711</v>
      </c>
    </row>
    <row r="4" spans="1:10">
      <c r="A4" s="5">
        <v>205</v>
      </c>
      <c r="B4" s="5"/>
      <c r="C4" s="5"/>
      <c r="D4" s="5"/>
      <c r="E4" s="5"/>
      <c r="F4" s="5"/>
      <c r="G4" s="5"/>
      <c r="H4" s="11" t="s">
        <v>3</v>
      </c>
      <c r="I4" s="6">
        <f>AVERAGE(G$5:G$25)</f>
        <v>618.55026455026484</v>
      </c>
    </row>
    <row r="5" spans="1:10">
      <c r="A5" s="5">
        <v>196</v>
      </c>
      <c r="B5" s="6">
        <f>AVERAGE(A2:A4)</f>
        <v>190.66666666666666</v>
      </c>
      <c r="C5" s="6">
        <f>A5-B5</f>
        <v>5.3333333333333428</v>
      </c>
      <c r="D5" s="6">
        <f>ABS(C5)</f>
        <v>5.3333333333333428</v>
      </c>
      <c r="E5" s="7">
        <f>D5/A5</f>
        <v>2.7210884353741544E-2</v>
      </c>
      <c r="F5" s="8">
        <f>D5/B5</f>
        <v>2.7972027972028024E-2</v>
      </c>
      <c r="G5" s="6">
        <f>D5*D5</f>
        <v>28.444444444444546</v>
      </c>
      <c r="H5" s="11" t="s">
        <v>5</v>
      </c>
      <c r="I5" s="5">
        <f>SQRT(I4)</f>
        <v>24.870670770010705</v>
      </c>
    </row>
    <row r="6" spans="1:10">
      <c r="A6" s="5">
        <v>179</v>
      </c>
      <c r="B6" s="6">
        <f>AVERAGE(A3:A5)</f>
        <v>182.66666666666666</v>
      </c>
      <c r="C6" s="6">
        <f t="shared" ref="C6:C25" si="0">A6-B6</f>
        <v>-3.6666666666666572</v>
      </c>
      <c r="D6" s="6">
        <f t="shared" ref="D6:D25" si="1">ABS(C6)</f>
        <v>3.6666666666666572</v>
      </c>
      <c r="E6" s="8">
        <f t="shared" ref="E6:E25" si="2">D6/A6</f>
        <v>2.0484171322160096E-2</v>
      </c>
      <c r="F6" s="8">
        <f t="shared" ref="F6:F25" si="3">D6/B6</f>
        <v>2.0072992700729875E-2</v>
      </c>
      <c r="G6" s="6">
        <f t="shared" ref="G6:G25" si="4">D6*D6</f>
        <v>13.444444444444375</v>
      </c>
    </row>
    <row r="7" spans="1:10">
      <c r="A7" s="5">
        <v>162</v>
      </c>
      <c r="B7" s="6">
        <f t="shared" ref="B7:B25" si="5">AVERAGE(A4:A6)</f>
        <v>193.33333333333334</v>
      </c>
      <c r="C7" s="6">
        <f t="shared" si="0"/>
        <v>-31.333333333333343</v>
      </c>
      <c r="D7" s="6">
        <f t="shared" si="1"/>
        <v>31.333333333333343</v>
      </c>
      <c r="E7" s="8">
        <f t="shared" si="2"/>
        <v>0.19341563786008237</v>
      </c>
      <c r="F7" s="8">
        <f t="shared" si="3"/>
        <v>0.16206896551724143</v>
      </c>
      <c r="G7" s="6">
        <f t="shared" si="4"/>
        <v>981.7777777777784</v>
      </c>
    </row>
    <row r="8" spans="1:10">
      <c r="A8" s="5">
        <v>162</v>
      </c>
      <c r="B8" s="6">
        <f t="shared" si="5"/>
        <v>179</v>
      </c>
      <c r="C8" s="6">
        <f t="shared" si="0"/>
        <v>-17</v>
      </c>
      <c r="D8" s="6">
        <f t="shared" si="1"/>
        <v>17</v>
      </c>
      <c r="E8" s="8">
        <f t="shared" si="2"/>
        <v>0.10493827160493827</v>
      </c>
      <c r="F8" s="8">
        <f t="shared" si="3"/>
        <v>9.4972067039106142E-2</v>
      </c>
      <c r="G8" s="6">
        <f t="shared" si="4"/>
        <v>289</v>
      </c>
    </row>
    <row r="9" spans="1:10">
      <c r="A9" s="5">
        <v>188</v>
      </c>
      <c r="B9" s="6">
        <f t="shared" si="5"/>
        <v>167.66666666666666</v>
      </c>
      <c r="C9" s="6">
        <f t="shared" si="0"/>
        <v>20.333333333333343</v>
      </c>
      <c r="D9" s="6">
        <f t="shared" si="1"/>
        <v>20.333333333333343</v>
      </c>
      <c r="E9" s="8">
        <f t="shared" si="2"/>
        <v>0.10815602836879437</v>
      </c>
      <c r="F9" s="8">
        <f t="shared" si="3"/>
        <v>0.12127236580516905</v>
      </c>
      <c r="G9" s="6">
        <f t="shared" si="4"/>
        <v>413.44444444444485</v>
      </c>
    </row>
    <row r="10" spans="1:10">
      <c r="A10" s="5">
        <v>143</v>
      </c>
      <c r="B10" s="6">
        <f t="shared" si="5"/>
        <v>170.66666666666666</v>
      </c>
      <c r="C10" s="6">
        <f t="shared" si="0"/>
        <v>-27.666666666666657</v>
      </c>
      <c r="D10" s="6">
        <f t="shared" si="1"/>
        <v>27.666666666666657</v>
      </c>
      <c r="E10" s="8">
        <f t="shared" si="2"/>
        <v>0.19347319347319342</v>
      </c>
      <c r="F10" s="8">
        <f t="shared" si="3"/>
        <v>0.16210937499999994</v>
      </c>
      <c r="G10" s="6">
        <f t="shared" si="4"/>
        <v>765.44444444444389</v>
      </c>
    </row>
    <row r="11" spans="1:10">
      <c r="A11" s="5">
        <v>206</v>
      </c>
      <c r="B11" s="6">
        <f t="shared" si="5"/>
        <v>164.33333333333334</v>
      </c>
      <c r="C11" s="6">
        <f t="shared" si="0"/>
        <v>41.666666666666657</v>
      </c>
      <c r="D11" s="6">
        <f t="shared" si="1"/>
        <v>41.666666666666657</v>
      </c>
      <c r="E11" s="8">
        <f t="shared" si="2"/>
        <v>0.20226537216828475</v>
      </c>
      <c r="F11" s="8">
        <f t="shared" si="3"/>
        <v>0.25354969574036507</v>
      </c>
      <c r="G11" s="6">
        <f t="shared" si="4"/>
        <v>1736.1111111111104</v>
      </c>
    </row>
    <row r="12" spans="1:10">
      <c r="A12" s="5">
        <v>204</v>
      </c>
      <c r="B12" s="6">
        <f t="shared" si="5"/>
        <v>179</v>
      </c>
      <c r="C12" s="6">
        <f t="shared" si="0"/>
        <v>25</v>
      </c>
      <c r="D12" s="6">
        <f t="shared" si="1"/>
        <v>25</v>
      </c>
      <c r="E12" s="8">
        <f t="shared" si="2"/>
        <v>0.12254901960784313</v>
      </c>
      <c r="F12" s="8">
        <f t="shared" si="3"/>
        <v>0.13966480446927373</v>
      </c>
      <c r="G12" s="6">
        <f t="shared" si="4"/>
        <v>625</v>
      </c>
    </row>
    <row r="13" spans="1:10">
      <c r="A13" s="5">
        <v>182</v>
      </c>
      <c r="B13" s="6">
        <f t="shared" si="5"/>
        <v>184.33333333333334</v>
      </c>
      <c r="C13" s="6">
        <f t="shared" si="0"/>
        <v>-2.3333333333333428</v>
      </c>
      <c r="D13" s="6">
        <f t="shared" si="1"/>
        <v>2.3333333333333428</v>
      </c>
      <c r="E13" s="8">
        <f t="shared" si="2"/>
        <v>1.2820512820512872E-2</v>
      </c>
      <c r="F13" s="8">
        <f t="shared" si="3"/>
        <v>1.2658227848101316E-2</v>
      </c>
      <c r="G13" s="6">
        <f t="shared" si="4"/>
        <v>5.4444444444444891</v>
      </c>
    </row>
    <row r="14" spans="1:10">
      <c r="A14" s="5">
        <v>164</v>
      </c>
      <c r="B14" s="6">
        <f t="shared" si="5"/>
        <v>197.33333333333334</v>
      </c>
      <c r="C14" s="6">
        <f t="shared" si="0"/>
        <v>-33.333333333333343</v>
      </c>
      <c r="D14" s="6">
        <f t="shared" si="1"/>
        <v>33.333333333333343</v>
      </c>
      <c r="E14" s="8">
        <f t="shared" si="2"/>
        <v>0.20325203252032525</v>
      </c>
      <c r="F14" s="8">
        <f t="shared" si="3"/>
        <v>0.16891891891891897</v>
      </c>
      <c r="G14" s="6">
        <f t="shared" si="4"/>
        <v>1111.1111111111118</v>
      </c>
    </row>
    <row r="15" spans="1:10">
      <c r="A15" s="5">
        <v>210</v>
      </c>
      <c r="B15" s="6">
        <f t="shared" si="5"/>
        <v>183.33333333333334</v>
      </c>
      <c r="C15" s="6">
        <f t="shared" si="0"/>
        <v>26.666666666666657</v>
      </c>
      <c r="D15" s="6">
        <f t="shared" si="1"/>
        <v>26.666666666666657</v>
      </c>
      <c r="E15" s="8">
        <f t="shared" si="2"/>
        <v>0.12698412698412695</v>
      </c>
      <c r="F15" s="8">
        <f t="shared" si="3"/>
        <v>0.14545454545454539</v>
      </c>
      <c r="G15" s="6">
        <f t="shared" si="4"/>
        <v>711.11111111111063</v>
      </c>
    </row>
    <row r="16" spans="1:10">
      <c r="A16" s="5">
        <v>152</v>
      </c>
      <c r="B16" s="6">
        <f t="shared" si="5"/>
        <v>185.33333333333334</v>
      </c>
      <c r="C16" s="6">
        <f t="shared" si="0"/>
        <v>-33.333333333333343</v>
      </c>
      <c r="D16" s="6">
        <f t="shared" si="1"/>
        <v>33.333333333333343</v>
      </c>
      <c r="E16" s="8">
        <f t="shared" si="2"/>
        <v>0.21929824561403516</v>
      </c>
      <c r="F16" s="8">
        <f t="shared" si="3"/>
        <v>0.17985611510791372</v>
      </c>
      <c r="G16" s="6">
        <f t="shared" si="4"/>
        <v>1111.1111111111118</v>
      </c>
    </row>
    <row r="17" spans="1:7">
      <c r="A17" s="5">
        <v>140</v>
      </c>
      <c r="B17" s="6">
        <f t="shared" si="5"/>
        <v>175.33333333333334</v>
      </c>
      <c r="C17" s="6">
        <f t="shared" si="0"/>
        <v>-35.333333333333343</v>
      </c>
      <c r="D17" s="6">
        <f t="shared" si="1"/>
        <v>35.333333333333343</v>
      </c>
      <c r="E17" s="8">
        <f t="shared" si="2"/>
        <v>0.25238095238095243</v>
      </c>
      <c r="F17" s="8">
        <f t="shared" si="3"/>
        <v>0.20152091254752855</v>
      </c>
      <c r="G17" s="6">
        <f t="shared" si="4"/>
        <v>1248.444444444445</v>
      </c>
    </row>
    <row r="18" spans="1:7">
      <c r="A18" s="5">
        <v>141</v>
      </c>
      <c r="B18" s="6">
        <f t="shared" si="5"/>
        <v>167.33333333333334</v>
      </c>
      <c r="C18" s="6">
        <f t="shared" si="0"/>
        <v>-26.333333333333343</v>
      </c>
      <c r="D18" s="6">
        <f t="shared" si="1"/>
        <v>26.333333333333343</v>
      </c>
      <c r="E18" s="8">
        <f t="shared" si="2"/>
        <v>0.18676122931442088</v>
      </c>
      <c r="F18" s="8">
        <f t="shared" si="3"/>
        <v>0.15737051792828691</v>
      </c>
      <c r="G18" s="6">
        <f t="shared" si="4"/>
        <v>693.44444444444491</v>
      </c>
    </row>
    <row r="19" spans="1:7">
      <c r="A19" s="5">
        <v>145</v>
      </c>
      <c r="B19" s="6">
        <f t="shared" si="5"/>
        <v>144.33333333333334</v>
      </c>
      <c r="C19" s="6">
        <f t="shared" si="0"/>
        <v>0.66666666666665719</v>
      </c>
      <c r="D19" s="6">
        <f t="shared" si="1"/>
        <v>0.66666666666665719</v>
      </c>
      <c r="E19" s="8">
        <f t="shared" si="2"/>
        <v>4.5977011494252222E-3</v>
      </c>
      <c r="F19" s="8">
        <f t="shared" si="3"/>
        <v>4.6189376443417354E-3</v>
      </c>
      <c r="G19" s="6">
        <f t="shared" si="4"/>
        <v>0.44444444444443182</v>
      </c>
    </row>
    <row r="20" spans="1:7">
      <c r="A20" s="5">
        <v>148</v>
      </c>
      <c r="B20" s="6">
        <f t="shared" si="5"/>
        <v>142</v>
      </c>
      <c r="C20" s="6">
        <f t="shared" si="0"/>
        <v>6</v>
      </c>
      <c r="D20" s="6">
        <f t="shared" si="1"/>
        <v>6</v>
      </c>
      <c r="E20" s="8">
        <f t="shared" si="2"/>
        <v>4.0540540540540543E-2</v>
      </c>
      <c r="F20" s="8">
        <f t="shared" si="3"/>
        <v>4.2253521126760563E-2</v>
      </c>
      <c r="G20" s="6">
        <f t="shared" si="4"/>
        <v>36</v>
      </c>
    </row>
    <row r="21" spans="1:7">
      <c r="A21" s="5">
        <v>197</v>
      </c>
      <c r="B21" s="6">
        <f t="shared" si="5"/>
        <v>144.66666666666666</v>
      </c>
      <c r="C21" s="6">
        <f t="shared" si="0"/>
        <v>52.333333333333343</v>
      </c>
      <c r="D21" s="6">
        <f t="shared" si="1"/>
        <v>52.333333333333343</v>
      </c>
      <c r="E21" s="8">
        <f t="shared" si="2"/>
        <v>0.26565143824027077</v>
      </c>
      <c r="F21" s="8">
        <f t="shared" si="3"/>
        <v>0.36175115207373282</v>
      </c>
      <c r="G21" s="6">
        <f t="shared" si="4"/>
        <v>2738.7777777777787</v>
      </c>
    </row>
    <row r="22" spans="1:7">
      <c r="A22" s="5">
        <v>152</v>
      </c>
      <c r="B22" s="6">
        <f t="shared" si="5"/>
        <v>163.33333333333334</v>
      </c>
      <c r="C22" s="6">
        <f t="shared" si="0"/>
        <v>-11.333333333333343</v>
      </c>
      <c r="D22" s="6">
        <f t="shared" si="1"/>
        <v>11.333333333333343</v>
      </c>
      <c r="E22" s="8">
        <f t="shared" si="2"/>
        <v>7.4561403508771995E-2</v>
      </c>
      <c r="F22" s="8">
        <f t="shared" si="3"/>
        <v>6.9387755102040871E-2</v>
      </c>
      <c r="G22" s="6">
        <f t="shared" si="4"/>
        <v>128.44444444444466</v>
      </c>
    </row>
    <row r="23" spans="1:7">
      <c r="A23" s="5">
        <v>166</v>
      </c>
      <c r="B23" s="6">
        <f t="shared" si="5"/>
        <v>165.66666666666666</v>
      </c>
      <c r="C23" s="6">
        <f t="shared" si="0"/>
        <v>0.33333333333334281</v>
      </c>
      <c r="D23" s="6">
        <f t="shared" si="1"/>
        <v>0.33333333333334281</v>
      </c>
      <c r="E23" s="8">
        <f t="shared" si="2"/>
        <v>2.0080321285141133E-3</v>
      </c>
      <c r="F23" s="8">
        <f t="shared" si="3"/>
        <v>2.0120724346077033E-3</v>
      </c>
      <c r="G23" s="6">
        <f t="shared" si="4"/>
        <v>0.11111111111111743</v>
      </c>
    </row>
    <row r="24" spans="1:7">
      <c r="A24" s="5">
        <v>177</v>
      </c>
      <c r="B24" s="6">
        <f t="shared" si="5"/>
        <v>171.66666666666666</v>
      </c>
      <c r="C24" s="6">
        <f t="shared" si="0"/>
        <v>5.3333333333333428</v>
      </c>
      <c r="D24" s="6">
        <f t="shared" si="1"/>
        <v>5.3333333333333428</v>
      </c>
      <c r="E24" s="8">
        <f t="shared" si="2"/>
        <v>3.0131826741996288E-2</v>
      </c>
      <c r="F24" s="8">
        <f t="shared" si="3"/>
        <v>3.1067961165048601E-2</v>
      </c>
      <c r="G24" s="6">
        <f t="shared" si="4"/>
        <v>28.444444444444546</v>
      </c>
    </row>
    <row r="25" spans="1:7">
      <c r="A25" s="5">
        <v>183</v>
      </c>
      <c r="B25" s="6">
        <f t="shared" si="5"/>
        <v>165</v>
      </c>
      <c r="C25" s="6">
        <f t="shared" si="0"/>
        <v>18</v>
      </c>
      <c r="D25" s="6">
        <f t="shared" si="1"/>
        <v>18</v>
      </c>
      <c r="E25" s="8">
        <f t="shared" si="2"/>
        <v>9.8360655737704916E-2</v>
      </c>
      <c r="F25" s="8">
        <f t="shared" si="3"/>
        <v>0.10909090909090909</v>
      </c>
      <c r="G25" s="6">
        <f t="shared" si="4"/>
        <v>324</v>
      </c>
    </row>
    <row r="26" spans="1:7">
      <c r="B26" s="3"/>
      <c r="C26" s="3"/>
      <c r="D26" s="3"/>
      <c r="E26" s="2"/>
      <c r="F26" s="2"/>
      <c r="G26" s="3"/>
    </row>
    <row r="27" spans="1:7">
      <c r="B27" s="3"/>
      <c r="C27" s="3"/>
      <c r="D27" s="3"/>
      <c r="E27" s="2"/>
      <c r="F27" s="2"/>
      <c r="G27" s="3"/>
    </row>
    <row r="28" spans="1:7">
      <c r="B28" s="3"/>
      <c r="C28" s="3"/>
      <c r="D28" s="3"/>
      <c r="E28" s="2"/>
      <c r="F28" s="2"/>
      <c r="G28" s="3"/>
    </row>
    <row r="29" spans="1:7">
      <c r="B29" s="3"/>
      <c r="C29" s="3"/>
      <c r="D29" s="3"/>
      <c r="E29" s="2"/>
      <c r="F29" s="2"/>
      <c r="G29" s="3"/>
    </row>
    <row r="30" spans="1:7">
      <c r="B30" s="3"/>
      <c r="C30" s="3"/>
      <c r="D30" s="3"/>
      <c r="E30" s="2"/>
      <c r="F30" s="2"/>
      <c r="G30" s="3"/>
    </row>
    <row r="31" spans="1:7">
      <c r="B31" s="3"/>
      <c r="C31" s="3"/>
      <c r="D31" s="3"/>
      <c r="E31" s="2"/>
      <c r="F31" s="2"/>
      <c r="G31" s="3"/>
    </row>
    <row r="32" spans="1:7">
      <c r="B32" s="3"/>
      <c r="C32" s="3"/>
      <c r="D32" s="3"/>
      <c r="E32" s="2"/>
      <c r="F32" s="2"/>
      <c r="G32" s="3"/>
    </row>
    <row r="33" spans="2:7">
      <c r="B33" s="3"/>
      <c r="C33" s="3"/>
      <c r="D33" s="3"/>
      <c r="E33" s="2"/>
      <c r="F33" s="2"/>
      <c r="G33" s="3"/>
    </row>
    <row r="34" spans="2:7">
      <c r="B34" s="3"/>
      <c r="C34" s="3"/>
      <c r="D34" s="3"/>
      <c r="E34" s="2"/>
      <c r="F34" s="2"/>
      <c r="G34" s="3"/>
    </row>
    <row r="35" spans="2:7">
      <c r="B35" s="3"/>
      <c r="C35" s="3"/>
      <c r="D35" s="3"/>
      <c r="E35" s="2"/>
      <c r="F35" s="2"/>
      <c r="G35" s="3"/>
    </row>
    <row r="36" spans="2:7">
      <c r="B36" s="3"/>
      <c r="C36" s="3"/>
      <c r="D36" s="3"/>
      <c r="E36" s="2"/>
      <c r="F36" s="2"/>
      <c r="G36" s="3"/>
    </row>
    <row r="37" spans="2:7">
      <c r="B37" s="3"/>
      <c r="C37" s="3"/>
      <c r="D37" s="3"/>
      <c r="E37" s="2"/>
      <c r="F37" s="2"/>
      <c r="G37" s="3"/>
    </row>
    <row r="38" spans="2:7">
      <c r="B38" s="3"/>
      <c r="C38" s="3"/>
      <c r="D38" s="3"/>
      <c r="E38" s="2"/>
      <c r="F38" s="2"/>
      <c r="G38" s="3"/>
    </row>
    <row r="39" spans="2:7">
      <c r="B39" s="3"/>
      <c r="C39" s="3"/>
      <c r="D39" s="3"/>
      <c r="E39" s="2"/>
      <c r="F39" s="2"/>
      <c r="G39" s="3"/>
    </row>
    <row r="40" spans="2:7">
      <c r="B40" s="3"/>
      <c r="C40" s="3"/>
      <c r="D40" s="3"/>
      <c r="E40" s="2"/>
      <c r="F40" s="2"/>
      <c r="G40" s="3"/>
    </row>
    <row r="41" spans="2:7">
      <c r="B41" s="3"/>
      <c r="C41" s="3"/>
      <c r="D41" s="3"/>
      <c r="E41" s="2"/>
      <c r="F41" s="2"/>
      <c r="G41" s="3"/>
    </row>
    <row r="42" spans="2:7">
      <c r="B42" s="3"/>
      <c r="C42" s="3"/>
      <c r="D42" s="3"/>
      <c r="E42" s="2"/>
      <c r="F42" s="2"/>
      <c r="G42" s="3"/>
    </row>
    <row r="43" spans="2:7">
      <c r="B43" s="3"/>
      <c r="C43" s="3"/>
      <c r="D43" s="3"/>
      <c r="E43" s="2"/>
      <c r="F43" s="2"/>
      <c r="G43" s="3"/>
    </row>
    <row r="44" spans="2:7">
      <c r="B44" s="3"/>
      <c r="C44" s="3"/>
      <c r="D44" s="3"/>
      <c r="E44" s="2"/>
      <c r="F44" s="2"/>
      <c r="G44" s="3"/>
    </row>
    <row r="45" spans="2:7">
      <c r="B45" s="3"/>
      <c r="C45" s="3"/>
      <c r="D45" s="3"/>
      <c r="E45" s="2"/>
      <c r="F45" s="2"/>
      <c r="G45" s="3"/>
    </row>
    <row r="46" spans="2:7">
      <c r="B46" s="3"/>
      <c r="C46" s="3"/>
      <c r="D46" s="3"/>
      <c r="E46" s="2"/>
      <c r="F46" s="2"/>
      <c r="G46" s="3"/>
    </row>
    <row r="47" spans="2:7">
      <c r="B47" s="3"/>
      <c r="C47" s="3"/>
      <c r="D47" s="3"/>
      <c r="E47" s="2"/>
      <c r="F47" s="2"/>
      <c r="G47" s="3"/>
    </row>
    <row r="48" spans="2:7">
      <c r="B48" s="3"/>
      <c r="C48" s="3"/>
      <c r="D48" s="3"/>
      <c r="E48" s="2"/>
      <c r="F48" s="2"/>
      <c r="G48" s="3"/>
    </row>
    <row r="49" spans="2:7">
      <c r="B49" s="3"/>
      <c r="C49" s="3"/>
      <c r="D49" s="3"/>
      <c r="E49" s="2"/>
      <c r="F49" s="2"/>
      <c r="G49" s="3"/>
    </row>
    <row r="50" spans="2:7">
      <c r="B50" s="3"/>
      <c r="C50" s="3"/>
      <c r="D50" s="3"/>
      <c r="E50" s="2"/>
      <c r="F50" s="2"/>
      <c r="G50" s="3"/>
    </row>
    <row r="51" spans="2:7">
      <c r="B51" s="3"/>
      <c r="C51" s="3"/>
      <c r="D51" s="3"/>
      <c r="E51" s="2"/>
      <c r="F51" s="2"/>
      <c r="G51" s="3"/>
    </row>
    <row r="52" spans="2:7">
      <c r="B52" s="3"/>
      <c r="C52" s="3"/>
      <c r="D52" s="3"/>
      <c r="E52" s="2"/>
      <c r="F52" s="2"/>
      <c r="G52" s="3"/>
    </row>
    <row r="53" spans="2:7">
      <c r="B53" s="3"/>
      <c r="C53" s="3"/>
      <c r="D53" s="3"/>
      <c r="E53" s="2"/>
      <c r="F53" s="2"/>
      <c r="G5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131A-2A95-44D4-A929-DFA4A9C75A55}">
  <dimension ref="A1:J53"/>
  <sheetViews>
    <sheetView workbookViewId="0">
      <selection activeCell="I14" sqref="I14"/>
    </sheetView>
  </sheetViews>
  <sheetFormatPr baseColWidth="10" defaultRowHeight="14.25"/>
  <cols>
    <col min="1" max="1" width="11" style="1"/>
    <col min="7" max="7" width="15.875" customWidth="1"/>
    <col min="9" max="9" width="19.125" customWidth="1"/>
  </cols>
  <sheetData>
    <row r="1" spans="1:10" ht="15">
      <c r="A1" s="10" t="s">
        <v>0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I1" s="10" t="s">
        <v>15</v>
      </c>
      <c r="J1" t="s">
        <v>4</v>
      </c>
    </row>
    <row r="2" spans="1:10">
      <c r="A2" s="5">
        <v>62</v>
      </c>
      <c r="B2" s="5"/>
      <c r="C2" s="5"/>
      <c r="D2" s="5"/>
      <c r="E2" s="5"/>
      <c r="F2" s="5"/>
      <c r="G2" s="5"/>
      <c r="H2" s="11" t="s">
        <v>1</v>
      </c>
      <c r="I2" s="9">
        <f>AVERAGE(E$5:E$25)</f>
        <v>0.19994876429186462</v>
      </c>
    </row>
    <row r="3" spans="1:10">
      <c r="A3" s="5">
        <v>102</v>
      </c>
      <c r="B3" s="5"/>
      <c r="C3" s="5"/>
      <c r="D3" s="5"/>
      <c r="E3" s="5"/>
      <c r="F3" s="5"/>
      <c r="G3" s="5"/>
      <c r="H3" s="11" t="s">
        <v>2</v>
      </c>
      <c r="I3" s="9">
        <f>AVERAGE(F$5:F$25)</f>
        <v>0.18782393014011664</v>
      </c>
    </row>
    <row r="4" spans="1:10">
      <c r="A4" s="5">
        <v>72</v>
      </c>
      <c r="B4" s="5"/>
      <c r="C4" s="5"/>
      <c r="D4" s="5"/>
      <c r="E4" s="5"/>
      <c r="F4" s="5"/>
      <c r="G4" s="5"/>
      <c r="H4" s="11" t="s">
        <v>3</v>
      </c>
      <c r="I4" s="6">
        <f>AVERAGE(G$5:G$25)</f>
        <v>396.40211640211646</v>
      </c>
    </row>
    <row r="5" spans="1:10">
      <c r="A5" s="5">
        <v>82</v>
      </c>
      <c r="B5" s="6">
        <f>AVERAGE(A2:A4)</f>
        <v>78.666666666666671</v>
      </c>
      <c r="C5" s="6">
        <f>A5-B5</f>
        <v>3.3333333333333286</v>
      </c>
      <c r="D5" s="6">
        <f>ABS(C5)</f>
        <v>3.3333333333333286</v>
      </c>
      <c r="E5" s="7">
        <f>D5/A5</f>
        <v>4.0650406504064984E-2</v>
      </c>
      <c r="F5" s="8">
        <f>D5/B5</f>
        <v>4.2372881355932139E-2</v>
      </c>
      <c r="G5" s="6">
        <f>D5*D5</f>
        <v>11.111111111111079</v>
      </c>
      <c r="H5" s="11" t="s">
        <v>5</v>
      </c>
      <c r="I5" s="5">
        <f>SQRT(I4)</f>
        <v>19.909849733288205</v>
      </c>
    </row>
    <row r="6" spans="1:10">
      <c r="A6" s="5">
        <v>89</v>
      </c>
      <c r="B6" s="6">
        <f>AVERAGE(A3:A5)</f>
        <v>85.333333333333329</v>
      </c>
      <c r="C6" s="6">
        <f t="shared" ref="C6:C25" si="0">A6-B6</f>
        <v>3.6666666666666714</v>
      </c>
      <c r="D6" s="6">
        <f t="shared" ref="D6:D25" si="1">ABS(C6)</f>
        <v>3.6666666666666714</v>
      </c>
      <c r="E6" s="8">
        <f t="shared" ref="E6:E25" si="2">D6/A6</f>
        <v>4.1198501872659228E-2</v>
      </c>
      <c r="F6" s="8">
        <f t="shared" ref="F6:F25" si="3">D6/B6</f>
        <v>4.2968750000000056E-2</v>
      </c>
      <c r="G6" s="6">
        <f t="shared" ref="G6:G25" si="4">D6*D6</f>
        <v>13.444444444444478</v>
      </c>
    </row>
    <row r="7" spans="1:10">
      <c r="A7" s="5">
        <v>98</v>
      </c>
      <c r="B7" s="6">
        <f t="shared" ref="B7:B25" si="5">AVERAGE(A4:A6)</f>
        <v>81</v>
      </c>
      <c r="C7" s="6">
        <f t="shared" si="0"/>
        <v>17</v>
      </c>
      <c r="D7" s="6">
        <f t="shared" si="1"/>
        <v>17</v>
      </c>
      <c r="E7" s="8">
        <f t="shared" si="2"/>
        <v>0.17346938775510204</v>
      </c>
      <c r="F7" s="8">
        <f t="shared" si="3"/>
        <v>0.20987654320987653</v>
      </c>
      <c r="G7" s="6">
        <f t="shared" si="4"/>
        <v>289</v>
      </c>
    </row>
    <row r="8" spans="1:10">
      <c r="A8" s="5">
        <v>109</v>
      </c>
      <c r="B8" s="6">
        <f t="shared" si="5"/>
        <v>89.666666666666671</v>
      </c>
      <c r="C8" s="6">
        <f t="shared" si="0"/>
        <v>19.333333333333329</v>
      </c>
      <c r="D8" s="6">
        <f t="shared" si="1"/>
        <v>19.333333333333329</v>
      </c>
      <c r="E8" s="8">
        <f t="shared" si="2"/>
        <v>0.1773700305810397</v>
      </c>
      <c r="F8" s="8">
        <f t="shared" si="3"/>
        <v>0.2156133828996282</v>
      </c>
      <c r="G8" s="6">
        <f t="shared" si="4"/>
        <v>373.7777777777776</v>
      </c>
    </row>
    <row r="9" spans="1:10">
      <c r="A9" s="5">
        <v>76</v>
      </c>
      <c r="B9" s="6">
        <f t="shared" si="5"/>
        <v>98.666666666666671</v>
      </c>
      <c r="C9" s="6">
        <f t="shared" si="0"/>
        <v>-22.666666666666671</v>
      </c>
      <c r="D9" s="6">
        <f t="shared" si="1"/>
        <v>22.666666666666671</v>
      </c>
      <c r="E9" s="8">
        <f t="shared" si="2"/>
        <v>0.29824561403508776</v>
      </c>
      <c r="F9" s="8">
        <f t="shared" si="3"/>
        <v>0.22972972972972977</v>
      </c>
      <c r="G9" s="6">
        <f t="shared" si="4"/>
        <v>513.77777777777794</v>
      </c>
    </row>
    <row r="10" spans="1:10">
      <c r="A10" s="5">
        <v>110</v>
      </c>
      <c r="B10" s="6">
        <f t="shared" si="5"/>
        <v>94.333333333333329</v>
      </c>
      <c r="C10" s="6">
        <f t="shared" si="0"/>
        <v>15.666666666666671</v>
      </c>
      <c r="D10" s="6">
        <f t="shared" si="1"/>
        <v>15.666666666666671</v>
      </c>
      <c r="E10" s="8">
        <f t="shared" si="2"/>
        <v>0.14242424242424248</v>
      </c>
      <c r="F10" s="8">
        <f t="shared" si="3"/>
        <v>0.16607773851590113</v>
      </c>
      <c r="G10" s="6">
        <f t="shared" si="4"/>
        <v>245.4444444444446</v>
      </c>
    </row>
    <row r="11" spans="1:10">
      <c r="A11" s="5">
        <v>119</v>
      </c>
      <c r="B11" s="6">
        <f t="shared" si="5"/>
        <v>98.333333333333329</v>
      </c>
      <c r="C11" s="6">
        <f t="shared" si="0"/>
        <v>20.666666666666671</v>
      </c>
      <c r="D11" s="6">
        <f t="shared" si="1"/>
        <v>20.666666666666671</v>
      </c>
      <c r="E11" s="8">
        <f t="shared" si="2"/>
        <v>0.1736694677871149</v>
      </c>
      <c r="F11" s="8">
        <f t="shared" si="3"/>
        <v>0.21016949152542377</v>
      </c>
      <c r="G11" s="6">
        <f t="shared" si="4"/>
        <v>427.11111111111131</v>
      </c>
    </row>
    <row r="12" spans="1:10">
      <c r="A12" s="5">
        <v>69</v>
      </c>
      <c r="B12" s="6">
        <f t="shared" si="5"/>
        <v>101.66666666666667</v>
      </c>
      <c r="C12" s="6">
        <f t="shared" si="0"/>
        <v>-32.666666666666671</v>
      </c>
      <c r="D12" s="6">
        <f t="shared" si="1"/>
        <v>32.666666666666671</v>
      </c>
      <c r="E12" s="8">
        <f t="shared" si="2"/>
        <v>0.4734299516908213</v>
      </c>
      <c r="F12" s="8">
        <f t="shared" si="3"/>
        <v>0.32131147540983612</v>
      </c>
      <c r="G12" s="6">
        <f t="shared" si="4"/>
        <v>1067.1111111111113</v>
      </c>
    </row>
    <row r="13" spans="1:10">
      <c r="A13" s="5">
        <v>62</v>
      </c>
      <c r="B13" s="6">
        <f t="shared" si="5"/>
        <v>99.333333333333329</v>
      </c>
      <c r="C13" s="6">
        <f t="shared" si="0"/>
        <v>-37.333333333333329</v>
      </c>
      <c r="D13" s="6">
        <f t="shared" si="1"/>
        <v>37.333333333333329</v>
      </c>
      <c r="E13" s="8">
        <f t="shared" si="2"/>
        <v>0.60215053763440851</v>
      </c>
      <c r="F13" s="8">
        <f t="shared" si="3"/>
        <v>0.3758389261744966</v>
      </c>
      <c r="G13" s="6">
        <f t="shared" si="4"/>
        <v>1393.7777777777774</v>
      </c>
    </row>
    <row r="14" spans="1:10">
      <c r="A14" s="5">
        <v>107</v>
      </c>
      <c r="B14" s="6">
        <f t="shared" si="5"/>
        <v>83.333333333333329</v>
      </c>
      <c r="C14" s="6">
        <f t="shared" si="0"/>
        <v>23.666666666666671</v>
      </c>
      <c r="D14" s="6">
        <f t="shared" si="1"/>
        <v>23.666666666666671</v>
      </c>
      <c r="E14" s="8">
        <f t="shared" si="2"/>
        <v>0.22118380062305301</v>
      </c>
      <c r="F14" s="8">
        <f t="shared" si="3"/>
        <v>0.28400000000000009</v>
      </c>
      <c r="G14" s="6">
        <f t="shared" si="4"/>
        <v>560.11111111111131</v>
      </c>
    </row>
    <row r="15" spans="1:10">
      <c r="A15" s="5">
        <v>91</v>
      </c>
      <c r="B15" s="6">
        <f t="shared" si="5"/>
        <v>79.333333333333329</v>
      </c>
      <c r="C15" s="6">
        <f t="shared" si="0"/>
        <v>11.666666666666671</v>
      </c>
      <c r="D15" s="6">
        <f t="shared" si="1"/>
        <v>11.666666666666671</v>
      </c>
      <c r="E15" s="8">
        <f t="shared" si="2"/>
        <v>0.12820512820512825</v>
      </c>
      <c r="F15" s="8">
        <f t="shared" si="3"/>
        <v>0.14705882352941183</v>
      </c>
      <c r="G15" s="6">
        <f t="shared" si="4"/>
        <v>136.11111111111123</v>
      </c>
    </row>
    <row r="16" spans="1:10">
      <c r="A16" s="5">
        <v>63</v>
      </c>
      <c r="B16" s="6">
        <f t="shared" si="5"/>
        <v>86.666666666666671</v>
      </c>
      <c r="C16" s="6">
        <f t="shared" si="0"/>
        <v>-23.666666666666671</v>
      </c>
      <c r="D16" s="6">
        <f t="shared" si="1"/>
        <v>23.666666666666671</v>
      </c>
      <c r="E16" s="8">
        <f t="shared" si="2"/>
        <v>0.37566137566137575</v>
      </c>
      <c r="F16" s="8">
        <f t="shared" si="3"/>
        <v>0.27307692307692311</v>
      </c>
      <c r="G16" s="6">
        <f t="shared" si="4"/>
        <v>560.11111111111131</v>
      </c>
    </row>
    <row r="17" spans="1:7">
      <c r="A17" s="5">
        <v>98</v>
      </c>
      <c r="B17" s="6">
        <f t="shared" si="5"/>
        <v>87</v>
      </c>
      <c r="C17" s="6">
        <f t="shared" si="0"/>
        <v>11</v>
      </c>
      <c r="D17" s="6">
        <f t="shared" si="1"/>
        <v>11</v>
      </c>
      <c r="E17" s="8">
        <f t="shared" si="2"/>
        <v>0.11224489795918367</v>
      </c>
      <c r="F17" s="8">
        <f t="shared" si="3"/>
        <v>0.12643678160919541</v>
      </c>
      <c r="G17" s="6">
        <f t="shared" si="4"/>
        <v>121</v>
      </c>
    </row>
    <row r="18" spans="1:7">
      <c r="A18" s="5">
        <v>81</v>
      </c>
      <c r="B18" s="6">
        <f t="shared" si="5"/>
        <v>84</v>
      </c>
      <c r="C18" s="6">
        <f t="shared" si="0"/>
        <v>-3</v>
      </c>
      <c r="D18" s="6">
        <f t="shared" si="1"/>
        <v>3</v>
      </c>
      <c r="E18" s="8">
        <f t="shared" si="2"/>
        <v>3.7037037037037035E-2</v>
      </c>
      <c r="F18" s="8">
        <f t="shared" si="3"/>
        <v>3.5714285714285712E-2</v>
      </c>
      <c r="G18" s="6">
        <f t="shared" si="4"/>
        <v>9</v>
      </c>
    </row>
    <row r="19" spans="1:7">
      <c r="A19" s="5">
        <v>79</v>
      </c>
      <c r="B19" s="6">
        <f t="shared" si="5"/>
        <v>80.666666666666671</v>
      </c>
      <c r="C19" s="6">
        <f t="shared" si="0"/>
        <v>-1.6666666666666714</v>
      </c>
      <c r="D19" s="6">
        <f t="shared" si="1"/>
        <v>1.6666666666666714</v>
      </c>
      <c r="E19" s="8">
        <f t="shared" si="2"/>
        <v>2.1097046413502171E-2</v>
      </c>
      <c r="F19" s="8">
        <f t="shared" si="3"/>
        <v>2.0661157024793445E-2</v>
      </c>
      <c r="G19" s="6">
        <f t="shared" si="4"/>
        <v>2.7777777777777937</v>
      </c>
    </row>
    <row r="20" spans="1:7">
      <c r="A20" s="5">
        <v>77</v>
      </c>
      <c r="B20" s="6">
        <f t="shared" si="5"/>
        <v>86</v>
      </c>
      <c r="C20" s="6">
        <f t="shared" si="0"/>
        <v>-9</v>
      </c>
      <c r="D20" s="6">
        <f t="shared" si="1"/>
        <v>9</v>
      </c>
      <c r="E20" s="8">
        <f t="shared" si="2"/>
        <v>0.11688311688311688</v>
      </c>
      <c r="F20" s="8">
        <f t="shared" si="3"/>
        <v>0.10465116279069768</v>
      </c>
      <c r="G20" s="6">
        <f t="shared" si="4"/>
        <v>81</v>
      </c>
    </row>
    <row r="21" spans="1:7">
      <c r="A21" s="5">
        <v>67</v>
      </c>
      <c r="B21" s="6">
        <f t="shared" si="5"/>
        <v>79</v>
      </c>
      <c r="C21" s="6">
        <f t="shared" si="0"/>
        <v>-12</v>
      </c>
      <c r="D21" s="6">
        <f t="shared" si="1"/>
        <v>12</v>
      </c>
      <c r="E21" s="8">
        <f t="shared" si="2"/>
        <v>0.17910447761194029</v>
      </c>
      <c r="F21" s="8">
        <f t="shared" si="3"/>
        <v>0.15189873417721519</v>
      </c>
      <c r="G21" s="6">
        <f t="shared" si="4"/>
        <v>144</v>
      </c>
    </row>
    <row r="22" spans="1:7">
      <c r="A22" s="5">
        <v>80</v>
      </c>
      <c r="B22" s="6">
        <f t="shared" si="5"/>
        <v>74.333333333333329</v>
      </c>
      <c r="C22" s="6">
        <f t="shared" si="0"/>
        <v>5.6666666666666714</v>
      </c>
      <c r="D22" s="6">
        <f t="shared" si="1"/>
        <v>5.6666666666666714</v>
      </c>
      <c r="E22" s="8">
        <f t="shared" si="2"/>
        <v>7.0833333333333387E-2</v>
      </c>
      <c r="F22" s="8">
        <f t="shared" si="3"/>
        <v>7.623318385650231E-2</v>
      </c>
      <c r="G22" s="6">
        <f t="shared" si="4"/>
        <v>32.111111111111164</v>
      </c>
    </row>
    <row r="23" spans="1:7">
      <c r="A23" s="5">
        <v>116</v>
      </c>
      <c r="B23" s="6">
        <f t="shared" si="5"/>
        <v>74.666666666666671</v>
      </c>
      <c r="C23" s="6">
        <f t="shared" si="0"/>
        <v>41.333333333333329</v>
      </c>
      <c r="D23" s="6">
        <f t="shared" si="1"/>
        <v>41.333333333333329</v>
      </c>
      <c r="E23" s="8">
        <f t="shared" si="2"/>
        <v>0.35632183908045972</v>
      </c>
      <c r="F23" s="8">
        <f t="shared" si="3"/>
        <v>0.55357142857142849</v>
      </c>
      <c r="G23" s="6">
        <f t="shared" si="4"/>
        <v>1708.4444444444441</v>
      </c>
    </row>
    <row r="24" spans="1:7">
      <c r="A24" s="5">
        <v>79</v>
      </c>
      <c r="B24" s="6">
        <f t="shared" si="5"/>
        <v>87.666666666666671</v>
      </c>
      <c r="C24" s="6">
        <f t="shared" si="0"/>
        <v>-8.6666666666666714</v>
      </c>
      <c r="D24" s="6">
        <f t="shared" si="1"/>
        <v>8.6666666666666714</v>
      </c>
      <c r="E24" s="8">
        <f t="shared" si="2"/>
        <v>0.10970464135021103</v>
      </c>
      <c r="F24" s="8">
        <f t="shared" si="3"/>
        <v>9.8859315589353666E-2</v>
      </c>
      <c r="G24" s="6">
        <f t="shared" si="4"/>
        <v>75.1111111111112</v>
      </c>
    </row>
    <row r="25" spans="1:7">
      <c r="A25" s="5">
        <v>68</v>
      </c>
      <c r="B25" s="6">
        <f t="shared" si="5"/>
        <v>91.666666666666671</v>
      </c>
      <c r="C25" s="6">
        <f t="shared" si="0"/>
        <v>-23.666666666666671</v>
      </c>
      <c r="D25" s="6">
        <f t="shared" si="1"/>
        <v>23.666666666666671</v>
      </c>
      <c r="E25" s="8">
        <f t="shared" si="2"/>
        <v>0.34803921568627461</v>
      </c>
      <c r="F25" s="8">
        <f t="shared" si="3"/>
        <v>0.25818181818181823</v>
      </c>
      <c r="G25" s="6">
        <f t="shared" si="4"/>
        <v>560.11111111111131</v>
      </c>
    </row>
    <row r="26" spans="1:7">
      <c r="B26" s="3"/>
      <c r="C26" s="3"/>
      <c r="D26" s="3"/>
      <c r="E26" s="2"/>
      <c r="F26" s="2"/>
      <c r="G26" s="3"/>
    </row>
    <row r="27" spans="1:7">
      <c r="B27" s="3"/>
      <c r="C27" s="3"/>
      <c r="D27" s="3"/>
      <c r="E27" s="2"/>
      <c r="F27" s="2"/>
      <c r="G27" s="3"/>
    </row>
    <row r="28" spans="1:7">
      <c r="B28" s="3"/>
      <c r="C28" s="3"/>
      <c r="D28" s="3"/>
      <c r="E28" s="2"/>
      <c r="F28" s="2"/>
      <c r="G28" s="3"/>
    </row>
    <row r="29" spans="1:7">
      <c r="B29" s="3"/>
      <c r="C29" s="3"/>
      <c r="D29" s="3"/>
      <c r="E29" s="2"/>
      <c r="F29" s="2"/>
      <c r="G29" s="3"/>
    </row>
    <row r="30" spans="1:7">
      <c r="B30" s="3"/>
      <c r="C30" s="3"/>
      <c r="D30" s="3"/>
      <c r="E30" s="2"/>
      <c r="F30" s="2"/>
      <c r="G30" s="3"/>
    </row>
    <row r="31" spans="1:7">
      <c r="B31" s="3"/>
      <c r="C31" s="3"/>
      <c r="D31" s="3"/>
      <c r="E31" s="2"/>
      <c r="F31" s="2"/>
      <c r="G31" s="3"/>
    </row>
    <row r="32" spans="1:7">
      <c r="B32" s="3"/>
      <c r="C32" s="3"/>
      <c r="D32" s="3"/>
      <c r="E32" s="2"/>
      <c r="F32" s="2"/>
      <c r="G32" s="3"/>
    </row>
    <row r="33" spans="2:7">
      <c r="B33" s="3"/>
      <c r="C33" s="3"/>
      <c r="D33" s="3"/>
      <c r="E33" s="2"/>
      <c r="F33" s="2"/>
      <c r="G33" s="3"/>
    </row>
    <row r="34" spans="2:7">
      <c r="B34" s="3"/>
      <c r="C34" s="3"/>
      <c r="D34" s="3"/>
      <c r="E34" s="2"/>
      <c r="F34" s="2"/>
      <c r="G34" s="3"/>
    </row>
    <row r="35" spans="2:7">
      <c r="B35" s="3"/>
      <c r="C35" s="3"/>
      <c r="D35" s="3"/>
      <c r="E35" s="2"/>
      <c r="F35" s="2"/>
      <c r="G35" s="3"/>
    </row>
    <row r="36" spans="2:7">
      <c r="B36" s="3"/>
      <c r="C36" s="3"/>
      <c r="D36" s="3"/>
      <c r="E36" s="2"/>
      <c r="F36" s="2"/>
      <c r="G36" s="3"/>
    </row>
    <row r="37" spans="2:7">
      <c r="B37" s="3"/>
      <c r="C37" s="3"/>
      <c r="D37" s="3"/>
      <c r="E37" s="2"/>
      <c r="F37" s="2"/>
      <c r="G37" s="3"/>
    </row>
    <row r="38" spans="2:7">
      <c r="B38" s="3"/>
      <c r="C38" s="3"/>
      <c r="D38" s="3"/>
      <c r="E38" s="2"/>
      <c r="F38" s="2"/>
      <c r="G38" s="3"/>
    </row>
    <row r="39" spans="2:7">
      <c r="B39" s="3"/>
      <c r="C39" s="3"/>
      <c r="D39" s="3"/>
      <c r="E39" s="2"/>
      <c r="F39" s="2"/>
      <c r="G39" s="3"/>
    </row>
    <row r="40" spans="2:7">
      <c r="B40" s="3"/>
      <c r="C40" s="3"/>
      <c r="D40" s="3"/>
      <c r="E40" s="2"/>
      <c r="F40" s="2"/>
      <c r="G40" s="3"/>
    </row>
    <row r="41" spans="2:7">
      <c r="B41" s="3"/>
      <c r="C41" s="3"/>
      <c r="D41" s="3"/>
      <c r="E41" s="2"/>
      <c r="F41" s="2"/>
      <c r="G41" s="3"/>
    </row>
    <row r="42" spans="2:7">
      <c r="B42" s="3"/>
      <c r="C42" s="3"/>
      <c r="D42" s="3"/>
      <c r="E42" s="2"/>
      <c r="F42" s="2"/>
      <c r="G42" s="3"/>
    </row>
    <row r="43" spans="2:7">
      <c r="B43" s="3"/>
      <c r="C43" s="3"/>
      <c r="D43" s="3"/>
      <c r="E43" s="2"/>
      <c r="F43" s="2"/>
      <c r="G43" s="3"/>
    </row>
    <row r="44" spans="2:7">
      <c r="B44" s="3"/>
      <c r="C44" s="3"/>
      <c r="D44" s="3"/>
      <c r="E44" s="2"/>
      <c r="F44" s="2"/>
      <c r="G44" s="3"/>
    </row>
    <row r="45" spans="2:7">
      <c r="B45" s="3"/>
      <c r="C45" s="3"/>
      <c r="D45" s="3"/>
      <c r="E45" s="2"/>
      <c r="F45" s="2"/>
      <c r="G45" s="3"/>
    </row>
    <row r="46" spans="2:7">
      <c r="B46" s="3"/>
      <c r="C46" s="3"/>
      <c r="D46" s="3"/>
      <c r="E46" s="2"/>
      <c r="F46" s="2"/>
      <c r="G46" s="3"/>
    </row>
    <row r="47" spans="2:7">
      <c r="B47" s="3"/>
      <c r="C47" s="3"/>
      <c r="D47" s="3"/>
      <c r="E47" s="2"/>
      <c r="F47" s="2"/>
      <c r="G47" s="3"/>
    </row>
    <row r="48" spans="2:7">
      <c r="B48" s="3"/>
      <c r="C48" s="3"/>
      <c r="D48" s="3"/>
      <c r="E48" s="2"/>
      <c r="F48" s="2"/>
      <c r="G48" s="3"/>
    </row>
    <row r="49" spans="2:7">
      <c r="B49" s="3"/>
      <c r="C49" s="3"/>
      <c r="D49" s="3"/>
      <c r="E49" s="2"/>
      <c r="F49" s="2"/>
      <c r="G49" s="3"/>
    </row>
    <row r="50" spans="2:7">
      <c r="B50" s="3"/>
      <c r="C50" s="3"/>
      <c r="D50" s="3"/>
      <c r="E50" s="2"/>
      <c r="F50" s="2"/>
      <c r="G50" s="3"/>
    </row>
    <row r="51" spans="2:7">
      <c r="B51" s="3"/>
      <c r="C51" s="3"/>
      <c r="D51" s="3"/>
      <c r="E51" s="2"/>
      <c r="F51" s="2"/>
      <c r="G51" s="3"/>
    </row>
    <row r="52" spans="2:7">
      <c r="B52" s="3"/>
      <c r="C52" s="3"/>
      <c r="D52" s="3"/>
      <c r="E52" s="2"/>
      <c r="F52" s="2"/>
      <c r="G52" s="3"/>
    </row>
    <row r="53" spans="2:7">
      <c r="B53" s="3"/>
      <c r="C53" s="3"/>
      <c r="D53" s="3"/>
      <c r="E53" s="2"/>
      <c r="F53" s="2"/>
      <c r="G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Producto 1</vt:lpstr>
      <vt:lpstr>Producto 2</vt:lpstr>
      <vt:lpstr>Producto 3</vt:lpstr>
      <vt:lpstr>Producto 4</vt:lpstr>
      <vt:lpstr>Producto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Salazar Ramos</dc:creator>
  <cp:lastModifiedBy>Camila</cp:lastModifiedBy>
  <dcterms:created xsi:type="dcterms:W3CDTF">2026-03-12T12:09:07Z</dcterms:created>
  <dcterms:modified xsi:type="dcterms:W3CDTF">2026-03-18T23:00:32Z</dcterms:modified>
</cp:coreProperties>
</file>